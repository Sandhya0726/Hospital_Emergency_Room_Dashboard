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691C9FF0-4546-48FC-8D97-AC3DD6DF1804}" xr6:coauthVersionLast="47" xr6:coauthVersionMax="47" xr10:uidLastSave="{00000000-0000-0000-0000-000000000000}"/>
  <bookViews>
    <workbookView xWindow="-110" yWindow="-110" windowWidth="19420" windowHeight="10420" activeTab="3" xr2:uid="{B0604D1D-84DC-4729-B4C1-0A842F8C3C9F}"/>
  </bookViews>
  <sheets>
    <sheet name="Pivot Tables" sheetId="1" r:id="rId1"/>
    <sheet name="Average score of patients" sheetId="5" r:id="rId2"/>
    <sheet name="No. of patients in a month" sheetId="3" r:id="rId3"/>
    <sheet name="Dashboard" sheetId="2" r:id="rId4"/>
    <sheet name="Average wait time of patients" sheetId="4" r:id="rId5"/>
  </sheets>
  <definedNames>
    <definedName name="Slicer_Date__Month">#N/A</definedName>
    <definedName name="Slicer_Date__Year">#N/A</definedName>
  </definedNames>
  <calcPr calcId="191029"/>
  <pivotCaches>
    <pivotCache cacheId="926" r:id="rId6"/>
    <pivotCache cacheId="929" r:id="rId7"/>
    <pivotCache cacheId="932" r:id="rId8"/>
    <pivotCache cacheId="935" r:id="rId9"/>
    <pivotCache cacheId="938" r:id="rId10"/>
    <pivotCache cacheId="941" r:id="rId11"/>
    <pivotCache cacheId="944" r:id="rId12"/>
    <pivotCache cacheId="947" r:id="rId13"/>
    <pivotCache cacheId="950" r:id="rId14"/>
    <pivotCache cacheId="953" r:id="rId15"/>
    <pivotCache cacheId="956"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2f1934-8d18-49a1-a7cb-ab920ccdc912" name="Hospital Emergency Room Data" connection="Query - Hospital Emergency Room Data"/>
          <x15:modelTable id="Calendar Table_2fe573c8-fd4f-47ee-ba9a-bf26caaee616"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2F0A9D-D7EB-4177-B1F9-87EEBD3E3738}" name="Query - Calendar Table" description="Connection to the 'Calendar Table' query in the workbook." type="100" refreshedVersion="7" minRefreshableVersion="5">
    <extLst>
      <ext xmlns:x15="http://schemas.microsoft.com/office/spreadsheetml/2010/11/main" uri="{DE250136-89BD-433C-8126-D09CA5730AF9}">
        <x15:connection id="e89ccaf7-3685-4141-909e-98930302ba82"/>
      </ext>
    </extLst>
  </connection>
  <connection id="2" xr16:uid="{AAB1DDA4-5347-46EC-81E3-DEBF706F2C7F}"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d739bb08-4f4e-4d32-ad3f-3b2bc91fad15"/>
      </ext>
    </extLst>
  </connection>
  <connection id="3" xr16:uid="{9DC843EE-A46E-44F8-BF86-E89225F2174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<sst xmlns="http://schemas.openxmlformats.org/spreadsheetml/2006/main" count="142" uniqueCount="62">
  <si>
    <t>Distinct Count of Patient Id</t>
  </si>
  <si>
    <t>Average of Patient Waittime</t>
  </si>
  <si>
    <t>Average of Patient Satisfaction Score</t>
  </si>
  <si>
    <t>Grand Total</t>
  </si>
  <si>
    <t>Row Labels</t>
  </si>
  <si>
    <t>Count of Patient Id</t>
  </si>
  <si>
    <t>Admitted</t>
  </si>
  <si>
    <t>Not Admitted</t>
  </si>
  <si>
    <t>Count of Patient Admission Flag</t>
  </si>
  <si>
    <t>0-10</t>
  </si>
  <si>
    <t>10-20</t>
  </si>
  <si>
    <t>20-30</t>
  </si>
  <si>
    <t>30-40</t>
  </si>
  <si>
    <t>40-50</t>
  </si>
  <si>
    <t>50-60</t>
  </si>
  <si>
    <t>60-70</t>
  </si>
  <si>
    <t>70-80</t>
  </si>
  <si>
    <t>Female</t>
  </si>
  <si>
    <t>Male</t>
  </si>
  <si>
    <t>Count of Patient Gender</t>
  </si>
  <si>
    <t>Cardiology</t>
  </si>
  <si>
    <t>Gastroenterology</t>
  </si>
  <si>
    <t>General Practice</t>
  </si>
  <si>
    <t>Neurology</t>
  </si>
  <si>
    <t>None</t>
  </si>
  <si>
    <t>Orthopedics</t>
  </si>
  <si>
    <t>Physiotherapy</t>
  </si>
  <si>
    <t>Renal</t>
  </si>
  <si>
    <t>Count of Department Referral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</si>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</sst>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tint="0.499984740745262"/>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2" borderId="0" xfId="0" applyFill="1"/>
    <xf numFmtId="2" fontId="0" fillId="0" borderId="0" xfId="0" applyNumberFormat="1"/>
    <xf numFmtId="0" fontId="0" fillId="0" borderId="0" xfId="0" pivotButton="1"/>
    <xf numFmtId="0" fontId="0" fillId="0" borderId="0" xfId="0" applyAlignment="1">
      <alignment horizontal="left"/>
    </xf>
    <xf numFmtId="0" fontId="1" fillId="0" borderId="0" xfId="0" applyFont="1"/>
    <xf numFmtId="1" fontId="0" fillId="0" borderId="0" xfId="0" applyNumberFormat="1"/>
  </cellXfs>
  <cellStyles count="1">
    <cellStyle name="Normal" xfId="0" builtinId="0"/>
  </cellStyles>
  <dxfs count="103">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164" formatCode="0.00000000"/>
    </dxf>
    <dxf>
      <numFmt numFmtId="1" formatCode="0"/>
    </dxf>
    <dxf>
      <numFmt numFmtId="2" formatCode="0.00"/>
    </dxf>
    <dxf>
      <numFmt numFmtId="2" formatCode="0.00"/>
    </dxf>
    <dxf>
      <numFmt numFmtId="1" formatCode="0"/>
    </dxf>
    <dxf>
      <numFmt numFmtId="2" formatCode="0.00"/>
    </dxf>
    <dxf>
      <numFmt numFmtId="1" formatCode="0"/>
    </dxf>
    <dxf>
      <numFmt numFmtId="164" formatCode="0.00000000"/>
    </dxf>
    <dxf>
      <numFmt numFmtId="2" formatCode="0.00"/>
    </dxf>
    <dxf>
      <font>
        <b val="0"/>
        <i val="0"/>
        <sz val="8"/>
        <color theme="4" tint="-0.499984740745262"/>
        <name val="Calibri Light"/>
        <family val="2"/>
        <scheme val="major"/>
      </font>
    </dxf>
    <dxf>
      <font>
        <b/>
        <color theme="1"/>
      </font>
      <border>
        <bottom style="thin">
          <color theme="5"/>
        </bottom>
        <vertical/>
        <horizontal/>
      </border>
    </dxf>
    <dxf>
      <font>
        <b val="0"/>
        <i val="0"/>
        <sz val="7"/>
        <color theme="1"/>
        <name val="Calibri Light"/>
        <family val="2"/>
        <scheme val="major"/>
      </font>
      <fill>
        <patternFill patternType="solid">
          <bgColor theme="0" tint="-4.9989318521683403E-2"/>
        </patternFill>
      </fill>
      <border diagonalUp="0" diagonalDown="0">
        <left/>
        <right/>
        <top/>
        <bottom/>
        <vertical/>
        <horizontal/>
      </border>
    </dxf>
  </dxfs>
  <tableStyles count="3" defaultTableStyle="TableStyleMedium2" defaultPivotStyle="PivotStyleLight16">
    <tableStyle name="My STyle" pivot="0" table="0" count="10" xr9:uid="{7B8FDA20-9939-4A38-8D75-AE071178D90D}">
      <tableStyleElement type="wholeTable" dxfId="102"/>
      <tableStyleElement type="headerRow" dxfId="101"/>
    </tableStyle>
    <tableStyle name="Mystyle" pivot="0" table="0" count="0" xr9:uid="{2EA0DCC5-C6B1-4D9C-914D-CECDAD0A1B79}"/>
    <tableStyle name="Slicer Style 1" pivot="0" table="0" count="1" xr9:uid="{AA22C6BE-9EB1-4CB7-89BF-553D0C614A83}">
      <tableStyleElement type="wholeTable" dxfId="10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Tables'!$J$5</c:f>
              <c:strCache>
                <c:ptCount val="1"/>
                <c:pt idx="0">
                  <c:v>Total</c:v>
                </c:pt>
              </c:strCache>
            </c:strRef>
          </c:tx>
          <c:spPr>
            <a:solidFill>
              <a:schemeClr val="accent1">
                <a:lumMod val="50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Tables'!$J$6:$J$37</c:f>
              <c:numCache>
                <c:formatCode>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4FDB-431E-B8BB-2EA4F89855C1}"/>
            </c:ext>
          </c:extLst>
        </c:ser>
        <c:dLbls>
          <c:showLegendKey val="0"/>
          <c:showVal val="1"/>
          <c:showCatName val="0"/>
          <c:showSerName val="0"/>
          <c:showPercent val="0"/>
          <c:showBubbleSize val="0"/>
        </c:dLbls>
        <c:axId val="271730528"/>
        <c:axId val="271729280"/>
      </c:areaChart>
      <c:catAx>
        <c:axId val="27173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29280"/>
        <c:crosses val="autoZero"/>
        <c:auto val="1"/>
        <c:lblAlgn val="ctr"/>
        <c:lblOffset val="100"/>
        <c:noMultiLvlLbl val="0"/>
      </c:catAx>
      <c:valAx>
        <c:axId val="271729280"/>
        <c:scaling>
          <c:orientation val="minMax"/>
        </c:scaling>
        <c:delete val="1"/>
        <c:axPos val="l"/>
        <c:numFmt formatCode="0" sourceLinked="1"/>
        <c:majorTickMark val="none"/>
        <c:minorTickMark val="none"/>
        <c:tickLblPos val="nextTo"/>
        <c:crossAx val="271730528"/>
        <c:crosses val="autoZero"/>
        <c:crossBetween val="midCat"/>
      </c:valAx>
      <c:spPr>
        <a:solidFill>
          <a:schemeClr val="bg2">
            <a:lumMod val="9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Tables'!$C$5</c:f>
              <c:strCache>
                <c:ptCount val="1"/>
                <c:pt idx="0">
                  <c:v>Total</c:v>
                </c:pt>
              </c:strCache>
            </c:strRef>
          </c:tx>
          <c:spPr>
            <a:solidFill>
              <a:schemeClr val="accent1">
                <a:lumMod val="50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Tables'!$B$6:$B$37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Tables'!$C$6:$C$37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F85C-4873-B062-21C504576D0C}"/>
            </c:ext>
          </c:extLst>
        </c:ser>
        <c:dLbls>
          <c:showLegendKey val="0"/>
          <c:showVal val="1"/>
          <c:showCatName val="0"/>
          <c:showSerName val="0"/>
          <c:showPercent val="0"/>
          <c:showBubbleSize val="0"/>
        </c:dLbls>
        <c:axId val="39267344"/>
        <c:axId val="39266096"/>
      </c:areaChart>
      <c:catAx>
        <c:axId val="3926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6096"/>
        <c:crosses val="autoZero"/>
        <c:auto val="1"/>
        <c:lblAlgn val="ctr"/>
        <c:lblOffset val="100"/>
        <c:noMultiLvlLbl val="0"/>
      </c:catAx>
      <c:valAx>
        <c:axId val="39266096"/>
        <c:scaling>
          <c:orientation val="minMax"/>
        </c:scaling>
        <c:delete val="1"/>
        <c:axPos val="l"/>
        <c:numFmt formatCode="General" sourceLinked="1"/>
        <c:majorTickMark val="out"/>
        <c:minorTickMark val="none"/>
        <c:tickLblPos val="nextTo"/>
        <c:crossAx val="3926734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Tables'!$C$5</c:f>
              <c:strCache>
                <c:ptCount val="1"/>
                <c:pt idx="0">
                  <c:v>Total</c:v>
                </c:pt>
              </c:strCache>
            </c:strRef>
          </c:tx>
          <c:spPr>
            <a:solidFill>
              <a:schemeClr val="accent1">
                <a:lumMod val="50000"/>
              </a:schemeClr>
            </a:solidFill>
            <a:ln w="25400">
              <a:noFill/>
            </a:ln>
            <a:effectLst/>
          </c:spPr>
          <c:cat>
            <c:strRef>
              <c:f>'Pivot Tables'!$B$6:$B$37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Tables'!$C$6:$C$37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42AB-4965-9F9F-F6490F6368BC}"/>
            </c:ext>
          </c:extLst>
        </c:ser>
        <c:dLbls>
          <c:showLegendKey val="0"/>
          <c:showVal val="0"/>
          <c:showCatName val="0"/>
          <c:showSerName val="0"/>
          <c:showPercent val="0"/>
          <c:showBubbleSize val="0"/>
        </c:dLbls>
        <c:axId val="39267344"/>
        <c:axId val="39266096"/>
      </c:areaChart>
      <c:catAx>
        <c:axId val="39267344"/>
        <c:scaling>
          <c:orientation val="minMax"/>
        </c:scaling>
        <c:delete val="1"/>
        <c:axPos val="b"/>
        <c:numFmt formatCode="General" sourceLinked="1"/>
        <c:majorTickMark val="out"/>
        <c:minorTickMark val="none"/>
        <c:tickLblPos val="nextTo"/>
        <c:crossAx val="39266096"/>
        <c:crosses val="autoZero"/>
        <c:auto val="1"/>
        <c:lblAlgn val="ctr"/>
        <c:lblOffset val="100"/>
        <c:noMultiLvlLbl val="0"/>
      </c:catAx>
      <c:valAx>
        <c:axId val="39266096"/>
        <c:scaling>
          <c:orientation val="minMax"/>
        </c:scaling>
        <c:delete val="1"/>
        <c:axPos val="l"/>
        <c:numFmt formatCode="General" sourceLinked="1"/>
        <c:majorTickMark val="none"/>
        <c:minorTickMark val="none"/>
        <c:tickLblPos val="nextTo"/>
        <c:crossAx val="3926734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7438104837599204E-3"/>
          <c:w val="1"/>
          <c:h val="0.99125618951623995"/>
        </c:manualLayout>
      </c:layout>
      <c:areaChart>
        <c:grouping val="standard"/>
        <c:varyColors val="0"/>
        <c:ser>
          <c:idx val="0"/>
          <c:order val="0"/>
          <c:tx>
            <c:strRef>
              <c:f>'Pivot Tables'!$G$5</c:f>
              <c:strCache>
                <c:ptCount val="1"/>
                <c:pt idx="0">
                  <c:v>Total</c:v>
                </c:pt>
              </c:strCache>
            </c:strRef>
          </c:tx>
          <c:spPr>
            <a:solidFill>
              <a:schemeClr val="accent1">
                <a:lumMod val="50000"/>
              </a:schemeClr>
            </a:solidFill>
            <a:ln w="25400">
              <a:noFill/>
            </a:ln>
            <a:effectLst/>
          </c:spPr>
          <c:cat>
            <c:strRef>
              <c:f>'Pivot Tables'!$F$6:$F$37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Tables'!$G$6:$G$37</c:f>
              <c:numCache>
                <c:formatCode>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1-9056-44E3-B372-937CA6DD8CE0}"/>
            </c:ext>
          </c:extLst>
        </c:ser>
        <c:dLbls>
          <c:showLegendKey val="0"/>
          <c:showVal val="0"/>
          <c:showCatName val="0"/>
          <c:showSerName val="0"/>
          <c:showPercent val="0"/>
          <c:showBubbleSize val="0"/>
        </c:dLbls>
        <c:axId val="883053696"/>
        <c:axId val="883054944"/>
      </c:areaChart>
      <c:catAx>
        <c:axId val="883053696"/>
        <c:scaling>
          <c:orientation val="minMax"/>
        </c:scaling>
        <c:delete val="1"/>
        <c:axPos val="b"/>
        <c:numFmt formatCode="General" sourceLinked="1"/>
        <c:majorTickMark val="out"/>
        <c:minorTickMark val="none"/>
        <c:tickLblPos val="nextTo"/>
        <c:crossAx val="883054944"/>
        <c:crosses val="autoZero"/>
        <c:auto val="1"/>
        <c:lblAlgn val="ctr"/>
        <c:lblOffset val="100"/>
        <c:noMultiLvlLbl val="0"/>
      </c:catAx>
      <c:valAx>
        <c:axId val="883054944"/>
        <c:scaling>
          <c:orientation val="minMax"/>
        </c:scaling>
        <c:delete val="1"/>
        <c:axPos val="l"/>
        <c:numFmt formatCode="0" sourceLinked="1"/>
        <c:majorTickMark val="none"/>
        <c:minorTickMark val="none"/>
        <c:tickLblPos val="nextTo"/>
        <c:crossAx val="883053696"/>
        <c:crosses val="autoZero"/>
        <c:crossBetween val="midCat"/>
      </c:valAx>
      <c:spPr>
        <a:solidFill>
          <a:schemeClr val="bg1">
            <a:lumMod val="95000"/>
          </a:schemeClr>
        </a:solid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Tables'!$G$5</c:f>
              <c:strCache>
                <c:ptCount val="1"/>
                <c:pt idx="0">
                  <c:v>Total</c:v>
                </c:pt>
              </c:strCache>
            </c:strRef>
          </c:tx>
          <c:spPr>
            <a:solidFill>
              <a:schemeClr val="accent1">
                <a:lumMod val="50000"/>
              </a:schemeClr>
            </a:solidFill>
            <a:ln w="25400">
              <a:noFill/>
            </a:ln>
            <a:effectLst/>
          </c:spPr>
          <c:cat>
            <c:strRef>
              <c:f>'Pivot Tables'!$F$6:$F$37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Tables'!$G$6:$G$37</c:f>
              <c:numCache>
                <c:formatCode>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1-09F0-461F-A4A2-68B7F055F864}"/>
            </c:ext>
          </c:extLst>
        </c:ser>
        <c:dLbls>
          <c:showLegendKey val="0"/>
          <c:showVal val="0"/>
          <c:showCatName val="0"/>
          <c:showSerName val="0"/>
          <c:showPercent val="0"/>
          <c:showBubbleSize val="0"/>
        </c:dLbls>
        <c:axId val="883053696"/>
        <c:axId val="883054944"/>
      </c:areaChart>
      <c:catAx>
        <c:axId val="883053696"/>
        <c:scaling>
          <c:orientation val="minMax"/>
        </c:scaling>
        <c:delete val="1"/>
        <c:axPos val="b"/>
        <c:numFmt formatCode="General" sourceLinked="1"/>
        <c:majorTickMark val="out"/>
        <c:minorTickMark val="none"/>
        <c:tickLblPos val="nextTo"/>
        <c:crossAx val="883054944"/>
        <c:crosses val="autoZero"/>
        <c:auto val="1"/>
        <c:lblAlgn val="ctr"/>
        <c:lblOffset val="100"/>
        <c:noMultiLvlLbl val="0"/>
      </c:catAx>
      <c:valAx>
        <c:axId val="883054944"/>
        <c:scaling>
          <c:orientation val="minMax"/>
        </c:scaling>
        <c:delete val="1"/>
        <c:axPos val="l"/>
        <c:numFmt formatCode="0" sourceLinked="1"/>
        <c:majorTickMark val="none"/>
        <c:minorTickMark val="none"/>
        <c:tickLblPos val="nextTo"/>
        <c:crossAx val="883053696"/>
        <c:crosses val="autoZero"/>
        <c:crossBetween val="midCat"/>
      </c:valAx>
      <c:spPr>
        <a:solidFill>
          <a:schemeClr val="bg1">
            <a:lumMod val="95000"/>
          </a:schemeClr>
        </a:solid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s>
    <c:plotArea>
      <c:layout>
        <c:manualLayout>
          <c:layoutTarget val="inner"/>
          <c:xMode val="edge"/>
          <c:yMode val="edge"/>
          <c:x val="0.19604920024849296"/>
          <c:y val="1.3851004286372171E-2"/>
          <c:w val="0.74892393656601786"/>
          <c:h val="0.9637379213252032"/>
        </c:manualLayout>
      </c:layout>
      <c:barChart>
        <c:barDir val="bar"/>
        <c:grouping val="clustered"/>
        <c:varyColors val="0"/>
        <c:ser>
          <c:idx val="0"/>
          <c:order val="0"/>
          <c:tx>
            <c:strRef>
              <c:f>'Pivot Tables'!$M$5</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Tables'!$L$6:$L$8</c:f>
              <c:strCache>
                <c:ptCount val="2"/>
                <c:pt idx="0">
                  <c:v>Admitted</c:v>
                </c:pt>
                <c:pt idx="1">
                  <c:v>Not Admitted</c:v>
                </c:pt>
              </c:strCache>
            </c:strRef>
          </c:cat>
          <c:val>
            <c:numRef>
              <c:f>'Pivot Tables'!$M$6:$M$8</c:f>
              <c:numCache>
                <c:formatCode>General</c:formatCode>
                <c:ptCount val="2"/>
                <c:pt idx="0">
                  <c:v>253</c:v>
                </c:pt>
                <c:pt idx="1">
                  <c:v>253</c:v>
                </c:pt>
              </c:numCache>
            </c:numRef>
          </c:val>
          <c:extLst>
            <c:ext xmlns:c16="http://schemas.microsoft.com/office/drawing/2014/chart" uri="{C3380CC4-5D6E-409C-BE32-E72D297353CC}">
              <c16:uniqueId val="{00000005-BDA9-4C57-B658-D190F0ABF042}"/>
            </c:ext>
          </c:extLst>
        </c:ser>
        <c:dLbls>
          <c:dLblPos val="outEnd"/>
          <c:showLegendKey val="0"/>
          <c:showVal val="1"/>
          <c:showCatName val="0"/>
          <c:showSerName val="0"/>
          <c:showPercent val="0"/>
          <c:showBubbleSize val="0"/>
        </c:dLbls>
        <c:gapWidth val="182"/>
        <c:axId val="1021808880"/>
        <c:axId val="1021807632"/>
      </c:barChart>
      <c:catAx>
        <c:axId val="1021808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1021807632"/>
        <c:crosses val="autoZero"/>
        <c:auto val="1"/>
        <c:lblAlgn val="ctr"/>
        <c:lblOffset val="100"/>
        <c:noMultiLvlLbl val="0"/>
      </c:catAx>
      <c:valAx>
        <c:axId val="1021807632"/>
        <c:scaling>
          <c:orientation val="minMax"/>
        </c:scaling>
        <c:delete val="1"/>
        <c:axPos val="b"/>
        <c:numFmt formatCode="General" sourceLinked="1"/>
        <c:majorTickMark val="out"/>
        <c:minorTickMark val="none"/>
        <c:tickLblPos val="nextTo"/>
        <c:crossAx val="10218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Tables'!$L$20:$L$28</c:f>
              <c:strCache>
                <c:ptCount val="8"/>
                <c:pt idx="0">
                  <c:v>0-10</c:v>
                </c:pt>
                <c:pt idx="1">
                  <c:v>10-20</c:v>
                </c:pt>
                <c:pt idx="2">
                  <c:v>20-30</c:v>
                </c:pt>
                <c:pt idx="3">
                  <c:v>30-40</c:v>
                </c:pt>
                <c:pt idx="4">
                  <c:v>40-50</c:v>
                </c:pt>
                <c:pt idx="5">
                  <c:v>50-60</c:v>
                </c:pt>
                <c:pt idx="6">
                  <c:v>60-70</c:v>
                </c:pt>
                <c:pt idx="7">
                  <c:v>70-80</c:v>
                </c:pt>
              </c:strCache>
            </c:strRef>
          </c:cat>
          <c:val>
            <c:numRef>
              <c:f>'Pivot Tables'!$M$20:$M$28</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1-6C23-49C9-9B4B-F9562E00842B}"/>
            </c:ext>
          </c:extLst>
        </c:ser>
        <c:dLbls>
          <c:dLblPos val="outEnd"/>
          <c:showLegendKey val="0"/>
          <c:showVal val="1"/>
          <c:showCatName val="0"/>
          <c:showSerName val="0"/>
          <c:showPercent val="0"/>
          <c:showBubbleSize val="0"/>
        </c:dLbls>
        <c:gapWidth val="219"/>
        <c:axId val="271742176"/>
        <c:axId val="271743840"/>
      </c:barChart>
      <c:catAx>
        <c:axId val="271742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271743840"/>
        <c:crosses val="autoZero"/>
        <c:auto val="1"/>
        <c:lblAlgn val="ctr"/>
        <c:lblOffset val="100"/>
        <c:noMultiLvlLbl val="0"/>
      </c:catAx>
      <c:valAx>
        <c:axId val="271743840"/>
        <c:scaling>
          <c:orientation val="minMax"/>
        </c:scaling>
        <c:delete val="1"/>
        <c:axPos val="b"/>
        <c:numFmt formatCode="General" sourceLinked="1"/>
        <c:majorTickMark val="out"/>
        <c:minorTickMark val="none"/>
        <c:tickLblPos val="nextTo"/>
        <c:crossAx val="27174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04667882035207E-3"/>
          <c:y val="0.2357392909808059"/>
          <c:w val="0.99021331532213619"/>
          <c:h val="0.7642607090191943"/>
        </c:manualLayout>
      </c:layout>
      <c:areaChart>
        <c:grouping val="standard"/>
        <c:varyColors val="0"/>
        <c:ser>
          <c:idx val="0"/>
          <c:order val="0"/>
          <c:tx>
            <c:strRef>
              <c:f>'Pivot Tables'!$C$5</c:f>
              <c:strCache>
                <c:ptCount val="1"/>
                <c:pt idx="0">
                  <c:v>Total</c:v>
                </c:pt>
              </c:strCache>
            </c:strRef>
          </c:tx>
          <c:spPr>
            <a:solidFill>
              <a:schemeClr val="accent1">
                <a:lumMod val="50000"/>
              </a:schemeClr>
            </a:solidFill>
            <a:ln w="25400">
              <a:noFill/>
            </a:ln>
            <a:effectLst/>
          </c:spPr>
          <c:cat>
            <c:strRef>
              <c:f>'Pivot Tables'!$B$6:$B$37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Tables'!$C$6:$C$37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53EF-4789-B47E-AC0D1F06858A}"/>
            </c:ext>
          </c:extLst>
        </c:ser>
        <c:dLbls>
          <c:showLegendKey val="0"/>
          <c:showVal val="0"/>
          <c:showCatName val="0"/>
          <c:showSerName val="0"/>
          <c:showPercent val="0"/>
          <c:showBubbleSize val="0"/>
        </c:dLbls>
        <c:axId val="39267344"/>
        <c:axId val="39266096"/>
      </c:areaChart>
      <c:catAx>
        <c:axId val="39267344"/>
        <c:scaling>
          <c:orientation val="minMax"/>
        </c:scaling>
        <c:delete val="1"/>
        <c:axPos val="b"/>
        <c:numFmt formatCode="General" sourceLinked="1"/>
        <c:majorTickMark val="out"/>
        <c:minorTickMark val="none"/>
        <c:tickLblPos val="nextTo"/>
        <c:crossAx val="39266096"/>
        <c:crosses val="autoZero"/>
        <c:auto val="1"/>
        <c:lblAlgn val="ctr"/>
        <c:lblOffset val="100"/>
        <c:noMultiLvlLbl val="0"/>
      </c:catAx>
      <c:valAx>
        <c:axId val="39266096"/>
        <c:scaling>
          <c:orientation val="minMax"/>
        </c:scaling>
        <c:delete val="1"/>
        <c:axPos val="l"/>
        <c:numFmt formatCode="General" sourceLinked="1"/>
        <c:majorTickMark val="out"/>
        <c:minorTickMark val="none"/>
        <c:tickLblPos val="nextTo"/>
        <c:crossAx val="39267344"/>
        <c:crosses val="autoZero"/>
        <c:crossBetween val="midCat"/>
      </c:valAx>
      <c:spPr>
        <a:solidFill>
          <a:schemeClr val="bg1">
            <a:lumMod val="95000"/>
          </a:schemeClr>
        </a:solid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noFill/>
          </a:ln>
          <a:effectLst/>
        </c:spPr>
      </c:pivotFmt>
      <c:pivotFmt>
        <c:idx val="6"/>
        <c:spPr>
          <a:solidFill>
            <a:schemeClr val="accent1">
              <a:lumMod val="50000"/>
            </a:schemeClr>
          </a:solidFill>
          <a:ln w="19050">
            <a:noFill/>
          </a:ln>
          <a:effectLst/>
        </c:spPr>
      </c:pivotFmt>
    </c:pivotFmts>
    <c:plotArea>
      <c:layout/>
      <c:doughnutChart>
        <c:varyColors val="1"/>
        <c:ser>
          <c:idx val="0"/>
          <c:order val="0"/>
          <c:tx>
            <c:strRef>
              <c:f>'Pivot Tables'!$M$31</c:f>
              <c:strCache>
                <c:ptCount val="1"/>
                <c:pt idx="0">
                  <c:v>Total</c:v>
                </c:pt>
              </c:strCache>
            </c:strRef>
          </c:tx>
          <c:spPr>
            <a:solidFill>
              <a:schemeClr val="accent1">
                <a:lumMod val="50000"/>
              </a:schemeClr>
            </a:solidFill>
            <a:ln>
              <a:noFill/>
            </a:ln>
          </c:spPr>
          <c:dPt>
            <c:idx val="0"/>
            <c:bubble3D val="0"/>
            <c:spPr>
              <a:solidFill>
                <a:schemeClr val="accent2"/>
              </a:solidFill>
              <a:ln w="19050">
                <a:noFill/>
              </a:ln>
              <a:effectLst/>
            </c:spPr>
          </c:dPt>
          <c:dPt>
            <c:idx val="1"/>
            <c:bubble3D val="0"/>
            <c:spPr>
              <a:solidFill>
                <a:schemeClr val="accent1">
                  <a:lumMod val="50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Tables'!$L$32:$L$34</c:f>
              <c:strCache>
                <c:ptCount val="2"/>
                <c:pt idx="0">
                  <c:v>Female</c:v>
                </c:pt>
                <c:pt idx="1">
                  <c:v>Male</c:v>
                </c:pt>
              </c:strCache>
            </c:strRef>
          </c:cat>
          <c:val>
            <c:numRef>
              <c:f>'Pivot Tables'!$M$32:$M$34</c:f>
              <c:numCache>
                <c:formatCode>General</c:formatCode>
                <c:ptCount val="2"/>
                <c:pt idx="0">
                  <c:v>231</c:v>
                </c:pt>
                <c:pt idx="1">
                  <c:v>275</c:v>
                </c:pt>
              </c:numCache>
            </c:numRef>
          </c:val>
          <c:extLst>
            <c:ext xmlns:c16="http://schemas.microsoft.com/office/drawing/2014/chart" uri="{C3380CC4-5D6E-409C-BE32-E72D297353CC}">
              <c16:uniqueId val="{00000006-53F2-4574-B415-38FFA2BAF7CF}"/>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Tables'!$V$9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Tables'!$U$10:$U$18</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Tables'!$V$10:$V$18</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2-6A38-4F69-8B91-B5DACBE5437F}"/>
            </c:ext>
          </c:extLst>
        </c:ser>
        <c:dLbls>
          <c:dLblPos val="outEnd"/>
          <c:showLegendKey val="0"/>
          <c:showVal val="1"/>
          <c:showCatName val="0"/>
          <c:showSerName val="0"/>
          <c:showPercent val="0"/>
          <c:showBubbleSize val="0"/>
        </c:dLbls>
        <c:gapWidth val="182"/>
        <c:axId val="435251071"/>
        <c:axId val="435251903"/>
      </c:barChart>
      <c:catAx>
        <c:axId val="435251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435251903"/>
        <c:crosses val="autoZero"/>
        <c:auto val="1"/>
        <c:lblAlgn val="ctr"/>
        <c:lblOffset val="100"/>
        <c:noMultiLvlLbl val="0"/>
      </c:catAx>
      <c:valAx>
        <c:axId val="435251903"/>
        <c:scaling>
          <c:orientation val="minMax"/>
        </c:scaling>
        <c:delete val="1"/>
        <c:axPos val="b"/>
        <c:numFmt formatCode="General" sourceLinked="1"/>
        <c:majorTickMark val="out"/>
        <c:minorTickMark val="none"/>
        <c:tickLblPos val="nextTo"/>
        <c:crossAx val="435251071"/>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[Hopital_emergency_room.xlsx]Pivot Tables!PivotTable6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Tables'!$G$5</c:f>
              <c:strCache>
                <c:ptCount val="1"/>
                <c:pt idx="0">
                  <c:v>Total</c:v>
                </c:pt>
              </c:strCache>
            </c:strRef>
          </c:tx>
          <c:spPr>
            <a:solidFill>
              <a:schemeClr val="accent1">
                <a:lumMod val="50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Tables'!$F$6:$F$37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Tables'!$G$6:$G$37</c:f>
              <c:numCache>
                <c:formatCode>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E25C-4D68-8F16-558A14006F65}"/>
            </c:ext>
          </c:extLst>
        </c:ser>
        <c:dLbls>
          <c:showLegendKey val="0"/>
          <c:showVal val="1"/>
          <c:showCatName val="0"/>
          <c:showSerName val="0"/>
          <c:showPercent val="0"/>
          <c:showBubbleSize val="0"/>
        </c:dLbls>
        <c:axId val="883053696"/>
        <c:axId val="883054944"/>
      </c:areaChart>
      <c:catAx>
        <c:axId val="8830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054944"/>
        <c:crosses val="autoZero"/>
        <c:auto val="1"/>
        <c:lblAlgn val="ctr"/>
        <c:lblOffset val="100"/>
        <c:noMultiLvlLbl val="0"/>
      </c:catAx>
      <c:valAx>
        <c:axId val="883054944"/>
        <c:scaling>
          <c:orientation val="minMax"/>
        </c:scaling>
        <c:delete val="1"/>
        <c:axPos val="l"/>
        <c:numFmt formatCode="0" sourceLinked="1"/>
        <c:majorTickMark val="none"/>
        <c:minorTickMark val="none"/>
        <c:tickLblPos val="nextTo"/>
        <c:crossAx val="883053696"/>
        <c:crosses val="autoZero"/>
        <c:crossBetween val="midCat"/>
      </c:valAx>
      <c:spPr>
        <a:solidFill>
          <a:schemeClr val="bg1">
            <a:lumMod val="85000"/>
          </a:schemeClr>
        </a:solid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hyperlink" Target="#'Average score of patients'!A1"/><Relationship Id="rId7" Type="http://schemas.openxmlformats.org/officeDocument/2006/relationships/image" Target="../media/image6.sv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hyperlink" Target="#'Average wait time of patients'!A1"/><Relationship Id="rId16" Type="http://schemas.openxmlformats.org/officeDocument/2006/relationships/chart" Target="../charts/chart7.xml"/><Relationship Id="rId1" Type="http://schemas.openxmlformats.org/officeDocument/2006/relationships/hyperlink" Target="#'No. of patients in a month'!A1"/><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6.xml"/><Relationship Id="rId10" Type="http://schemas.openxmlformats.org/officeDocument/2006/relationships/image" Target="../media/image9.png"/><Relationship Id="rId19"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158750</xdr:colOff>
      <xdr:row>19</xdr:row>
      <xdr:rowOff>101600</xdr:rowOff>
    </xdr:to>
    <xdr:graphicFrame macro="">
      <xdr:nvGraphicFramePr>
        <xdr:cNvPr id="2" name="Chart 1">
          <a:extLst>
            <a:ext uri="{FF2B5EF4-FFF2-40B4-BE49-F238E27FC236}">
              <a16:creationId xmlns:a16="http://schemas.microsoft.com/office/drawing/2014/main" id="{5CAE70F6-5C2E-4D3E-99A5-45993C5D7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0.0068</cdr:x>
      <cdr:y>0.01411</cdr:y>
    </cdr:from>
    <cdr:to>
      <cdr:x>0.06882</cdr:x>
      <cdr:y>0.14286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7C85FC-6D98-4392-9D21-A55AFD90C9E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63550" cy="46355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158750</xdr:colOff>
      <xdr:row>0</xdr:row>
      <xdr:rowOff>127000</xdr:rowOff>
    </xdr:from>
    <xdr:to>
      <xdr:col>13</xdr:col>
      <xdr:colOff>184150</xdr:colOff>
      <xdr:row>20</xdr:row>
      <xdr:rowOff>12700</xdr:rowOff>
    </xdr:to>
    <xdr:graphicFrame macro="">
      <xdr:nvGraphicFramePr>
        <xdr:cNvPr id="2" name="Chart 1">
          <a:extLst>
            <a:ext uri="{FF2B5EF4-FFF2-40B4-BE49-F238E27FC236}">
              <a16:creationId xmlns:a16="http://schemas.microsoft.com/office/drawing/2014/main" id="{DAE4DAE8-25BE-4302-91B7-B97A048B6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158750</xdr:colOff>
      <xdr:row>0</xdr:row>
      <xdr:rowOff>127000</xdr:rowOff>
    </xdr:from>
    <xdr:to>
      <xdr:col>1</xdr:col>
      <xdr:colOff>12700</xdr:colOff>
      <xdr:row>3</xdr:row>
      <xdr:rowOff>38100</xdr:rowOff>
    </xdr:to>
    <xdr:pic>
      <xdr:nvPicPr>
        <xdr:cNvPr id="5" name="Graphic 3" descr="Home with solid fill">
          <a:hlinkClick xmlns:r="http://schemas.openxmlformats.org/officeDocument/2006/relationships" r:id="rId2"/>
          <a:extLst>
            <a:ext uri="{FF2B5EF4-FFF2-40B4-BE49-F238E27FC236}">
              <a16:creationId xmlns:a16="http://schemas.microsoft.com/office/drawing/2014/main" id="{0C7C85FC-6D98-4392-9D21-A55AFD90C9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8750" y="127000"/>
          <a:ext cx="463550" cy="463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213210</xdr:colOff>
      <xdr:row>6</xdr:row>
      <xdr:rowOff>41716</xdr:rowOff>
    </xdr:from>
    <xdr:to>
      <xdr:col>7</xdr:col>
      <xdr:colOff>329087</xdr:colOff>
      <xdr:row>9</xdr:row>
      <xdr:rowOff>92702</xdr:rowOff>
    </xdr:to>
    <xdr:sp macro="" textlink="">
      <xdr:nvSpPr>
        <xdr:cNvPr id="47" name="Rectangle: Rounded Corners 46">
          <a:extLst>
            <a:ext uri="{FF2B5EF4-FFF2-40B4-BE49-F238E27FC236}">
              <a16:creationId xmlns:a16="http://schemas.microsoft.com/office/drawing/2014/main" id="{CFFB9EBB-6597-4991-85CE-6F1EB3DB3D1F}"/>
            </a:ext>
          </a:extLst>
        </xdr:cNvPr>
        <xdr:cNvSpPr/>
      </xdr:nvSpPr>
      <xdr:spPr>
        <a:xfrm>
          <a:off x="821303" y="1139513"/>
          <a:ext cx="3694479" cy="599884"/>
        </a:xfrm>
        <a:prstGeom prst="roundRect">
          <a:avLst>
            <a:gd name="adj" fmla="val 2769"/>
          </a:avLst>
        </a:prstGeom>
        <a:solidFill>
          <a:schemeClr val="bg1">
            <a:lumMod val="95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70970</xdr:colOff>
      <xdr:row>0</xdr:row>
      <xdr:rowOff>22411</xdr:rowOff>
    </xdr:from>
    <xdr:to>
      <xdr:col>11</xdr:col>
      <xdr:colOff>160618</xdr:colOff>
      <xdr:row>2</xdr:row>
      <xdr:rowOff>85911</xdr:rowOff>
    </xdr:to>
    <xdr:sp macro="" textlink="">
      <xdr:nvSpPr>
        <xdr:cNvPr id="2" name="Rectangle: Rounded Corners 1">
          <a:extLst>
            <a:ext uri="{FF2B5EF4-FFF2-40B4-BE49-F238E27FC236}">
              <a16:creationId xmlns:a16="http://schemas.microsoft.com/office/drawing/2014/main" id="{7755DD20-4735-492C-8FFE-1E5BF0870B3E}"/>
            </a:ext>
          </a:extLst>
        </xdr:cNvPr>
        <xdr:cNvSpPr/>
      </xdr:nvSpPr>
      <xdr:spPr>
        <a:xfrm>
          <a:off x="70970" y="22411"/>
          <a:ext cx="6719795" cy="429559"/>
        </a:xfrm>
        <a:prstGeom prst="roundRect">
          <a:avLst>
            <a:gd name="adj" fmla="val 7102"/>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66029</xdr:colOff>
      <xdr:row>6</xdr:row>
      <xdr:rowOff>27993</xdr:rowOff>
    </xdr:from>
    <xdr:to>
      <xdr:col>1</xdr:col>
      <xdr:colOff>174352</xdr:colOff>
      <xdr:row>21</xdr:row>
      <xdr:rowOff>74160</xdr:rowOff>
    </xdr:to>
    <xdr:sp macro="" textlink="">
      <xdr:nvSpPr>
        <xdr:cNvPr id="3" name="Rectangle: Rounded Corners 2">
          <a:extLst>
            <a:ext uri="{FF2B5EF4-FFF2-40B4-BE49-F238E27FC236}">
              <a16:creationId xmlns:a16="http://schemas.microsoft.com/office/drawing/2014/main" id="{F6E41973-2FEC-4FCC-B1B7-FBB021A143D0}"/>
            </a:ext>
          </a:extLst>
        </xdr:cNvPr>
        <xdr:cNvSpPr/>
      </xdr:nvSpPr>
      <xdr:spPr>
        <a:xfrm>
          <a:off x="66029" y="1140402"/>
          <a:ext cx="720148" cy="2827189"/>
        </a:xfrm>
        <a:prstGeom prst="roundRect">
          <a:avLst>
            <a:gd name="adj" fmla="val 688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208922</xdr:colOff>
      <xdr:row>9</xdr:row>
      <xdr:rowOff>126696</xdr:rowOff>
    </xdr:from>
    <xdr:to>
      <xdr:col>4</xdr:col>
      <xdr:colOff>230990</xdr:colOff>
      <xdr:row>21</xdr:row>
      <xdr:rowOff>87396</xdr:rowOff>
    </xdr:to>
    <xdr:sp macro="" textlink="">
      <xdr:nvSpPr>
        <xdr:cNvPr id="4" name="Rectangle: Rounded Corners 3">
          <a:extLst>
            <a:ext uri="{FF2B5EF4-FFF2-40B4-BE49-F238E27FC236}">
              <a16:creationId xmlns:a16="http://schemas.microsoft.com/office/drawing/2014/main" id="{977AD953-AACD-42A5-A115-010470DA3BEC}"/>
            </a:ext>
          </a:extLst>
        </xdr:cNvPr>
        <xdr:cNvSpPr/>
      </xdr:nvSpPr>
      <xdr:spPr>
        <a:xfrm>
          <a:off x="817015" y="1773391"/>
          <a:ext cx="1846348" cy="2156293"/>
        </a:xfrm>
        <a:prstGeom prst="roundRect">
          <a:avLst>
            <a:gd name="adj" fmla="val 2769"/>
          </a:avLst>
        </a:prstGeom>
        <a:solidFill>
          <a:schemeClr val="bg1">
            <a:lumMod val="95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205438</xdr:colOff>
      <xdr:row>2</xdr:row>
      <xdr:rowOff>112057</xdr:rowOff>
    </xdr:from>
    <xdr:to>
      <xdr:col>3</xdr:col>
      <xdr:colOff>209176</xdr:colOff>
      <xdr:row>6</xdr:row>
      <xdr:rowOff>3111</xdr:rowOff>
    </xdr:to>
    <xdr:sp macro="" textlink="">
      <xdr:nvSpPr>
        <xdr:cNvPr id="13" name="Rectangle: Rounded Corners 12">
          <a:extLst>
            <a:ext uri="{FF2B5EF4-FFF2-40B4-BE49-F238E27FC236}">
              <a16:creationId xmlns:a16="http://schemas.microsoft.com/office/drawing/2014/main" id="{A47B5ED9-47BD-473B-ACB7-9514F35D7FF3}"/>
            </a:ext>
          </a:extLst>
        </xdr:cNvPr>
        <xdr:cNvSpPr/>
      </xdr:nvSpPr>
      <xdr:spPr>
        <a:xfrm>
          <a:off x="814291" y="478116"/>
          <a:ext cx="1221444" cy="623171"/>
        </a:xfrm>
        <a:prstGeom prst="roundRect">
          <a:avLst>
            <a:gd name="adj" fmla="val 865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253077</xdr:colOff>
      <xdr:row>9</xdr:row>
      <xdr:rowOff>136363</xdr:rowOff>
    </xdr:from>
    <xdr:to>
      <xdr:col>7</xdr:col>
      <xdr:colOff>342725</xdr:colOff>
      <xdr:row>21</xdr:row>
      <xdr:rowOff>84364</xdr:rowOff>
    </xdr:to>
    <xdr:sp macro="" textlink="">
      <xdr:nvSpPr>
        <xdr:cNvPr id="24" name="Rectangle: Rounded Corners 23">
          <a:extLst>
            <a:ext uri="{FF2B5EF4-FFF2-40B4-BE49-F238E27FC236}">
              <a16:creationId xmlns:a16="http://schemas.microsoft.com/office/drawing/2014/main" id="{540A2393-6E8D-47B3-A956-8AC5F9CD1F84}"/>
            </a:ext>
          </a:extLst>
        </xdr:cNvPr>
        <xdr:cNvSpPr/>
      </xdr:nvSpPr>
      <xdr:spPr>
        <a:xfrm>
          <a:off x="2693858" y="1788355"/>
          <a:ext cx="1850781" cy="2150657"/>
        </a:xfrm>
        <a:prstGeom prst="roundRect">
          <a:avLst>
            <a:gd name="adj" fmla="val 2769"/>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358937</xdr:colOff>
      <xdr:row>2</xdr:row>
      <xdr:rowOff>119173</xdr:rowOff>
    </xdr:from>
    <xdr:to>
      <xdr:col>11</xdr:col>
      <xdr:colOff>160618</xdr:colOff>
      <xdr:row>11</xdr:row>
      <xdr:rowOff>161442</xdr:rowOff>
    </xdr:to>
    <xdr:sp macro="" textlink="">
      <xdr:nvSpPr>
        <xdr:cNvPr id="25" name="Rectangle: Rounded Corners 24">
          <a:extLst>
            <a:ext uri="{FF2B5EF4-FFF2-40B4-BE49-F238E27FC236}">
              <a16:creationId xmlns:a16="http://schemas.microsoft.com/office/drawing/2014/main" id="{2B6528F1-6199-47F6-B553-ECA185C0BAC8}"/>
            </a:ext>
          </a:extLst>
        </xdr:cNvPr>
        <xdr:cNvSpPr/>
      </xdr:nvSpPr>
      <xdr:spPr>
        <a:xfrm>
          <a:off x="4545632" y="485105"/>
          <a:ext cx="2234054" cy="1688964"/>
        </a:xfrm>
        <a:prstGeom prst="roundRect">
          <a:avLst>
            <a:gd name="adj" fmla="val 2769"/>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235319</xdr:colOff>
      <xdr:row>2</xdr:row>
      <xdr:rowOff>112057</xdr:rowOff>
    </xdr:from>
    <xdr:to>
      <xdr:col>5</xdr:col>
      <xdr:colOff>239057</xdr:colOff>
      <xdr:row>6</xdr:row>
      <xdr:rowOff>3111</xdr:rowOff>
    </xdr:to>
    <xdr:sp macro="" textlink="">
      <xdr:nvSpPr>
        <xdr:cNvPr id="28" name="Rectangle: Rounded Corners 27">
          <a:extLst>
            <a:ext uri="{FF2B5EF4-FFF2-40B4-BE49-F238E27FC236}">
              <a16:creationId xmlns:a16="http://schemas.microsoft.com/office/drawing/2014/main" id="{55BF4E50-5079-48FB-9F6B-BBF65FD6718C}"/>
            </a:ext>
          </a:extLst>
        </xdr:cNvPr>
        <xdr:cNvSpPr/>
      </xdr:nvSpPr>
      <xdr:spPr>
        <a:xfrm>
          <a:off x="2061878" y="478116"/>
          <a:ext cx="1221444" cy="623171"/>
        </a:xfrm>
        <a:prstGeom prst="roundRect">
          <a:avLst>
            <a:gd name="adj" fmla="val 865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265200</xdr:colOff>
      <xdr:row>2</xdr:row>
      <xdr:rowOff>112057</xdr:rowOff>
    </xdr:from>
    <xdr:to>
      <xdr:col>7</xdr:col>
      <xdr:colOff>336174</xdr:colOff>
      <xdr:row>6</xdr:row>
      <xdr:rowOff>3111</xdr:rowOff>
    </xdr:to>
    <xdr:sp macro="" textlink="">
      <xdr:nvSpPr>
        <xdr:cNvPr id="29" name="Rectangle: Rounded Corners 28">
          <a:extLst>
            <a:ext uri="{FF2B5EF4-FFF2-40B4-BE49-F238E27FC236}">
              <a16:creationId xmlns:a16="http://schemas.microsoft.com/office/drawing/2014/main" id="{3A76E772-17E8-4335-94FC-5F61FB3ACC1D}"/>
            </a:ext>
          </a:extLst>
        </xdr:cNvPr>
        <xdr:cNvSpPr/>
      </xdr:nvSpPr>
      <xdr:spPr>
        <a:xfrm>
          <a:off x="3309465" y="478116"/>
          <a:ext cx="1221444" cy="623171"/>
        </a:xfrm>
        <a:prstGeom prst="roundRect">
          <a:avLst>
            <a:gd name="adj" fmla="val 865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96212</xdr:colOff>
      <xdr:row>0</xdr:row>
      <xdr:rowOff>46183</xdr:rowOff>
    </xdr:from>
    <xdr:to>
      <xdr:col>9</xdr:col>
      <xdr:colOff>278356</xdr:colOff>
      <xdr:row>2</xdr:row>
      <xdr:rowOff>80818</xdr:rowOff>
    </xdr:to>
    <xdr:sp macro="" textlink="">
      <xdr:nvSpPr>
        <xdr:cNvPr id="31" name="TextBox 30">
          <a:extLst>
            <a:ext uri="{FF2B5EF4-FFF2-40B4-BE49-F238E27FC236}">
              <a16:creationId xmlns:a16="http://schemas.microsoft.com/office/drawing/2014/main" id="{E5369E9D-9F2B-49A1-B8AE-3362BDC38407}"/>
            </a:ext>
          </a:extLst>
        </xdr:cNvPr>
        <xdr:cNvSpPr txBox="1"/>
      </xdr:nvSpPr>
      <xdr:spPr>
        <a:xfrm>
          <a:off x="96212" y="46183"/>
          <a:ext cx="5592692" cy="39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a:solidFill>
                <a:schemeClr val="accent1">
                  <a:lumMod val="50000"/>
                </a:schemeClr>
              </a:solidFill>
            </a:rPr>
            <a:t>  Hospital Emergency Room Dashboard</a:t>
          </a:r>
        </a:p>
        <a:p>
          <a:r>
            <a:rPr lang="en-US" sz="800" b="1">
              <a:solidFill>
                <a:schemeClr val="accent1">
                  <a:lumMod val="50000"/>
                </a:schemeClr>
              </a:solidFill>
            </a:rPr>
            <a:t>     Monthly Report, 10th October,2024</a:t>
          </a:r>
        </a:p>
        <a:p>
          <a:endParaRPr lang="en-US" sz="1600" b="1">
            <a:solidFill>
              <a:schemeClr val="accent1">
                <a:lumMod val="50000"/>
              </a:schemeClr>
            </a:solidFill>
          </a:endParaRPr>
        </a:p>
        <a:p>
          <a:endParaRPr lang="en-US" sz="1600" b="1">
            <a:solidFill>
              <a:schemeClr val="accent1">
                <a:lumMod val="50000"/>
              </a:schemeClr>
            </a:solidFill>
          </a:endParaRPr>
        </a:p>
      </xdr:txBody>
    </xdr:sp>
    <xdr:clientData/>
  </xdr:twoCellAnchor>
  <xdr:twoCellAnchor editAs="absolute">
    <xdr:from>
      <xdr:col>1</xdr:col>
      <xdr:colOff>265903</xdr:colOff>
      <xdr:row>2</xdr:row>
      <xdr:rowOff>154664</xdr:rowOff>
    </xdr:from>
    <xdr:to>
      <xdr:col>3</xdr:col>
      <xdr:colOff>146844</xdr:colOff>
      <xdr:row>4</xdr:row>
      <xdr:rowOff>8321</xdr:rowOff>
    </xdr:to>
    <xdr:sp macro="" textlink="">
      <xdr:nvSpPr>
        <xdr:cNvPr id="35" name="TextBox 34">
          <a:extLst>
            <a:ext uri="{FF2B5EF4-FFF2-40B4-BE49-F238E27FC236}">
              <a16:creationId xmlns:a16="http://schemas.microsoft.com/office/drawing/2014/main" id="{461BD83B-93CE-4CF2-8587-78048F7945C2}"/>
            </a:ext>
          </a:extLst>
        </xdr:cNvPr>
        <xdr:cNvSpPr txBox="1"/>
      </xdr:nvSpPr>
      <xdr:spPr>
        <a:xfrm>
          <a:off x="874260" y="518790"/>
          <a:ext cx="1097654" cy="2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a:solidFill>
                <a:schemeClr val="accent1">
                  <a:lumMod val="50000"/>
                </a:schemeClr>
              </a:solidFill>
            </a:rPr>
            <a:t> Total number</a:t>
          </a:r>
          <a:r>
            <a:rPr lang="en-US" sz="800" baseline="0">
              <a:solidFill>
                <a:schemeClr val="accent1">
                  <a:lumMod val="50000"/>
                </a:schemeClr>
              </a:solidFill>
            </a:rPr>
            <a:t> of patients</a:t>
          </a:r>
          <a:endParaRPr lang="en-US" sz="800">
            <a:solidFill>
              <a:schemeClr val="accent1">
                <a:lumMod val="50000"/>
              </a:schemeClr>
            </a:solidFill>
          </a:endParaRPr>
        </a:p>
      </xdr:txBody>
    </xdr:sp>
    <xdr:clientData/>
  </xdr:twoCellAnchor>
  <xdr:twoCellAnchor editAs="absolute">
    <xdr:from>
      <xdr:col>1</xdr:col>
      <xdr:colOff>283361</xdr:colOff>
      <xdr:row>3</xdr:row>
      <xdr:rowOff>75659</xdr:rowOff>
    </xdr:from>
    <xdr:to>
      <xdr:col>3</xdr:col>
      <xdr:colOff>164302</xdr:colOff>
      <xdr:row>4</xdr:row>
      <xdr:rowOff>111378</xdr:rowOff>
    </xdr:to>
    <xdr:sp macro="" textlink="'Pivot Tables'!A2">
      <xdr:nvSpPr>
        <xdr:cNvPr id="37" name="TextBox 36">
          <a:hlinkClick xmlns:r="http://schemas.openxmlformats.org/officeDocument/2006/relationships" r:id="rId1"/>
          <a:extLst>
            <a:ext uri="{FF2B5EF4-FFF2-40B4-BE49-F238E27FC236}">
              <a16:creationId xmlns:a16="http://schemas.microsoft.com/office/drawing/2014/main" id="{6B0221CF-9070-4658-8182-042C23F28DCC}"/>
            </a:ext>
          </a:extLst>
        </xdr:cNvPr>
        <xdr:cNvSpPr txBox="1"/>
      </xdr:nvSpPr>
      <xdr:spPr>
        <a:xfrm>
          <a:off x="891718" y="621848"/>
          <a:ext cx="1097654" cy="217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46C3ABB-E556-40E6-918B-DD6B78354655}" type="TxLink">
            <a:rPr lang="en-US" sz="1600" b="1" i="0" u="none" strike="noStrike">
              <a:solidFill>
                <a:schemeClr val="accent1">
                  <a:lumMod val="50000"/>
                </a:schemeClr>
              </a:solidFill>
              <a:latin typeface="Calibri"/>
              <a:cs typeface="Calibri"/>
            </a:rPr>
            <a:pPr algn="ctr"/>
            <a:t>506</a:t>
          </a:fld>
          <a:endParaRPr lang="en-US" sz="1600" b="1">
            <a:solidFill>
              <a:schemeClr val="accent1">
                <a:lumMod val="50000"/>
              </a:schemeClr>
            </a:solidFill>
          </a:endParaRPr>
        </a:p>
      </xdr:txBody>
    </xdr:sp>
    <xdr:clientData/>
  </xdr:twoCellAnchor>
  <xdr:twoCellAnchor editAs="absolute">
    <xdr:from>
      <xdr:col>3</xdr:col>
      <xdr:colOff>294987</xdr:colOff>
      <xdr:row>2</xdr:row>
      <xdr:rowOff>154664</xdr:rowOff>
    </xdr:from>
    <xdr:to>
      <xdr:col>5</xdr:col>
      <xdr:colOff>175928</xdr:colOff>
      <xdr:row>4</xdr:row>
      <xdr:rowOff>8321</xdr:rowOff>
    </xdr:to>
    <xdr:sp macro="" textlink="">
      <xdr:nvSpPr>
        <xdr:cNvPr id="38" name="TextBox 37">
          <a:extLst>
            <a:ext uri="{FF2B5EF4-FFF2-40B4-BE49-F238E27FC236}">
              <a16:creationId xmlns:a16="http://schemas.microsoft.com/office/drawing/2014/main" id="{83FBA087-C4C9-4144-817F-0BA685493B6D}"/>
            </a:ext>
          </a:extLst>
        </xdr:cNvPr>
        <xdr:cNvSpPr txBox="1"/>
      </xdr:nvSpPr>
      <xdr:spPr>
        <a:xfrm>
          <a:off x="2120057" y="518790"/>
          <a:ext cx="1097654" cy="2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solidFill>
                <a:schemeClr val="accent1">
                  <a:lumMod val="50000"/>
                </a:schemeClr>
              </a:solidFill>
            </a:rPr>
            <a:t> Avergae W</a:t>
          </a:r>
          <a:r>
            <a:rPr lang="en-US" sz="800" baseline="0">
              <a:solidFill>
                <a:schemeClr val="accent1">
                  <a:lumMod val="50000"/>
                </a:schemeClr>
              </a:solidFill>
            </a:rPr>
            <a:t>aittime</a:t>
          </a:r>
          <a:endParaRPr lang="en-US" sz="800">
            <a:solidFill>
              <a:schemeClr val="accent1">
                <a:lumMod val="50000"/>
              </a:schemeClr>
            </a:solidFill>
          </a:endParaRPr>
        </a:p>
      </xdr:txBody>
    </xdr:sp>
    <xdr:clientData/>
  </xdr:twoCellAnchor>
  <xdr:twoCellAnchor editAs="absolute">
    <xdr:from>
      <xdr:col>3</xdr:col>
      <xdr:colOff>312445</xdr:colOff>
      <xdr:row>3</xdr:row>
      <xdr:rowOff>75659</xdr:rowOff>
    </xdr:from>
    <xdr:to>
      <xdr:col>5</xdr:col>
      <xdr:colOff>193386</xdr:colOff>
      <xdr:row>4</xdr:row>
      <xdr:rowOff>111378</xdr:rowOff>
    </xdr:to>
    <xdr:sp macro="" textlink="'Pivot Tables'!A10">
      <xdr:nvSpPr>
        <xdr:cNvPr id="39" name="TextBox 38">
          <a:hlinkClick xmlns:r="http://schemas.openxmlformats.org/officeDocument/2006/relationships" r:id="rId2"/>
          <a:extLst>
            <a:ext uri="{FF2B5EF4-FFF2-40B4-BE49-F238E27FC236}">
              <a16:creationId xmlns:a16="http://schemas.microsoft.com/office/drawing/2014/main" id="{0CF063E7-3E16-4446-9686-207BABA8B289}"/>
            </a:ext>
          </a:extLst>
        </xdr:cNvPr>
        <xdr:cNvSpPr txBox="1"/>
      </xdr:nvSpPr>
      <xdr:spPr>
        <a:xfrm>
          <a:off x="2137515" y="621848"/>
          <a:ext cx="1097654" cy="217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F0AD4F5-BC9B-499C-BEB1-C86C7E410AEE}" type="TxLink">
            <a:rPr lang="en-US" sz="1600" b="1" i="0" u="none" strike="noStrike">
              <a:solidFill>
                <a:schemeClr val="accent1">
                  <a:lumMod val="50000"/>
                </a:schemeClr>
              </a:solidFill>
              <a:latin typeface="Calibri"/>
              <a:cs typeface="Calibri"/>
            </a:rPr>
            <a:pPr algn="ctr"/>
            <a:t>35.88</a:t>
          </a:fld>
          <a:endParaRPr lang="en-US" sz="1600" b="1">
            <a:solidFill>
              <a:schemeClr val="accent1">
                <a:lumMod val="50000"/>
              </a:schemeClr>
            </a:solidFill>
          </a:endParaRPr>
        </a:p>
      </xdr:txBody>
    </xdr:sp>
    <xdr:clientData/>
  </xdr:twoCellAnchor>
  <xdr:twoCellAnchor editAs="absolute">
    <xdr:from>
      <xdr:col>5</xdr:col>
      <xdr:colOff>322943</xdr:colOff>
      <xdr:row>2</xdr:row>
      <xdr:rowOff>159110</xdr:rowOff>
    </xdr:from>
    <xdr:to>
      <xdr:col>7</xdr:col>
      <xdr:colOff>275772</xdr:colOff>
      <xdr:row>4</xdr:row>
      <xdr:rowOff>12767</xdr:rowOff>
    </xdr:to>
    <xdr:sp macro="" textlink="">
      <xdr:nvSpPr>
        <xdr:cNvPr id="40" name="TextBox 39">
          <a:extLst>
            <a:ext uri="{FF2B5EF4-FFF2-40B4-BE49-F238E27FC236}">
              <a16:creationId xmlns:a16="http://schemas.microsoft.com/office/drawing/2014/main" id="{71DAE5FB-78E8-4F76-9350-5AF7315CC10A}"/>
            </a:ext>
          </a:extLst>
        </xdr:cNvPr>
        <xdr:cNvSpPr txBox="1"/>
      </xdr:nvSpPr>
      <xdr:spPr>
        <a:xfrm>
          <a:off x="3364726" y="523236"/>
          <a:ext cx="1102934" cy="2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solidFill>
                <a:schemeClr val="accent1">
                  <a:lumMod val="50000"/>
                </a:schemeClr>
              </a:solidFill>
            </a:rPr>
            <a:t>Average</a:t>
          </a:r>
          <a:r>
            <a:rPr lang="en-US" sz="800" baseline="0"/>
            <a:t> satisfaction score</a:t>
          </a:r>
          <a:endParaRPr lang="en-US" sz="800"/>
        </a:p>
      </xdr:txBody>
    </xdr:sp>
    <xdr:clientData/>
  </xdr:twoCellAnchor>
  <xdr:twoCellAnchor editAs="absolute">
    <xdr:from>
      <xdr:col>5</xdr:col>
      <xdr:colOff>340401</xdr:colOff>
      <xdr:row>3</xdr:row>
      <xdr:rowOff>84534</xdr:rowOff>
    </xdr:from>
    <xdr:to>
      <xdr:col>7</xdr:col>
      <xdr:colOff>293230</xdr:colOff>
      <xdr:row>4</xdr:row>
      <xdr:rowOff>120253</xdr:rowOff>
    </xdr:to>
    <xdr:sp macro="" textlink="'Pivot Tables'!A16">
      <xdr:nvSpPr>
        <xdr:cNvPr id="41" name="TextBox 40">
          <a:hlinkClick xmlns:r="http://schemas.openxmlformats.org/officeDocument/2006/relationships" r:id="rId3"/>
          <a:extLst>
            <a:ext uri="{FF2B5EF4-FFF2-40B4-BE49-F238E27FC236}">
              <a16:creationId xmlns:a16="http://schemas.microsoft.com/office/drawing/2014/main" id="{B5E84A4C-195A-4E62-BABB-837A71AF6293}"/>
            </a:ext>
          </a:extLst>
        </xdr:cNvPr>
        <xdr:cNvSpPr txBox="1"/>
      </xdr:nvSpPr>
      <xdr:spPr>
        <a:xfrm>
          <a:off x="3382184" y="630723"/>
          <a:ext cx="1102934" cy="217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58D8FA6-36E6-4CE3-B930-95D13C4E40A8}" type="TxLink">
            <a:rPr lang="en-US" sz="1600" b="1" i="0" u="none" strike="noStrike">
              <a:solidFill>
                <a:schemeClr val="accent1">
                  <a:lumMod val="50000"/>
                </a:schemeClr>
              </a:solidFill>
              <a:latin typeface="Calibri"/>
              <a:cs typeface="Calibri"/>
            </a:rPr>
            <a:pPr algn="ctr"/>
            <a:t>5.33</a:t>
          </a:fld>
          <a:endParaRPr lang="en-US" sz="1600" b="1">
            <a:solidFill>
              <a:schemeClr val="accent1">
                <a:lumMod val="50000"/>
              </a:schemeClr>
            </a:solidFill>
          </a:endParaRPr>
        </a:p>
      </xdr:txBody>
    </xdr:sp>
    <xdr:clientData/>
  </xdr:twoCellAnchor>
  <xdr:twoCellAnchor editAs="oneCell">
    <xdr:from>
      <xdr:col>10</xdr:col>
      <xdr:colOff>292117</xdr:colOff>
      <xdr:row>0</xdr:row>
      <xdr:rowOff>59141</xdr:rowOff>
    </xdr:from>
    <xdr:to>
      <xdr:col>11</xdr:col>
      <xdr:colOff>105472</xdr:colOff>
      <xdr:row>2</xdr:row>
      <xdr:rowOff>58954</xdr:rowOff>
    </xdr:to>
    <xdr:pic>
      <xdr:nvPicPr>
        <xdr:cNvPr id="6" name="Graphic 5" descr="Stethoscope with solid fill">
          <a:extLst>
            <a:ext uri="{FF2B5EF4-FFF2-40B4-BE49-F238E27FC236}">
              <a16:creationId xmlns:a16="http://schemas.microsoft.com/office/drawing/2014/main" id="{CC350BC9-5F31-49E4-9E38-F1BF61C64C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322843" y="59141"/>
          <a:ext cx="423523" cy="368752"/>
        </a:xfrm>
        <a:prstGeom prst="rect">
          <a:avLst/>
        </a:prstGeom>
      </xdr:spPr>
    </xdr:pic>
    <xdr:clientData/>
  </xdr:twoCellAnchor>
  <xdr:twoCellAnchor editAs="oneCell">
    <xdr:from>
      <xdr:col>5</xdr:col>
      <xdr:colOff>6915</xdr:colOff>
      <xdr:row>3</xdr:row>
      <xdr:rowOff>92793</xdr:rowOff>
    </xdr:from>
    <xdr:to>
      <xdr:col>5</xdr:col>
      <xdr:colOff>191024</xdr:colOff>
      <xdr:row>4</xdr:row>
      <xdr:rowOff>91117</xdr:rowOff>
    </xdr:to>
    <xdr:pic>
      <xdr:nvPicPr>
        <xdr:cNvPr id="8" name="Graphic 7" descr="Hourglass Finished with solid fill">
          <a:extLst>
            <a:ext uri="{FF2B5EF4-FFF2-40B4-BE49-F238E27FC236}">
              <a16:creationId xmlns:a16="http://schemas.microsoft.com/office/drawing/2014/main" id="{C3A096C6-260E-4A73-BC34-6DF788C444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048698" y="638982"/>
          <a:ext cx="184109" cy="180387"/>
        </a:xfrm>
        <a:prstGeom prst="rect">
          <a:avLst/>
        </a:prstGeom>
      </xdr:spPr>
    </xdr:pic>
    <xdr:clientData/>
  </xdr:twoCellAnchor>
  <xdr:twoCellAnchor editAs="oneCell">
    <xdr:from>
      <xdr:col>7</xdr:col>
      <xdr:colOff>91224</xdr:colOff>
      <xdr:row>3</xdr:row>
      <xdr:rowOff>100880</xdr:rowOff>
    </xdr:from>
    <xdr:to>
      <xdr:col>7</xdr:col>
      <xdr:colOff>274104</xdr:colOff>
      <xdr:row>4</xdr:row>
      <xdr:rowOff>97984</xdr:rowOff>
    </xdr:to>
    <xdr:pic>
      <xdr:nvPicPr>
        <xdr:cNvPr id="10" name="Graphic 9" descr="Star with solid fill">
          <a:extLst>
            <a:ext uri="{FF2B5EF4-FFF2-40B4-BE49-F238E27FC236}">
              <a16:creationId xmlns:a16="http://schemas.microsoft.com/office/drawing/2014/main" id="{5B0024DC-3FDB-4686-82B0-57431E06C3D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283112" y="647069"/>
          <a:ext cx="182880" cy="179167"/>
        </a:xfrm>
        <a:prstGeom prst="rect">
          <a:avLst/>
        </a:prstGeom>
      </xdr:spPr>
    </xdr:pic>
    <xdr:clientData/>
  </xdr:twoCellAnchor>
  <xdr:twoCellAnchor editAs="oneCell">
    <xdr:from>
      <xdr:col>2</xdr:col>
      <xdr:colOff>577229</xdr:colOff>
      <xdr:row>3</xdr:row>
      <xdr:rowOff>96463</xdr:rowOff>
    </xdr:from>
    <xdr:to>
      <xdr:col>3</xdr:col>
      <xdr:colOff>153510</xdr:colOff>
      <xdr:row>4</xdr:row>
      <xdr:rowOff>96525</xdr:rowOff>
    </xdr:to>
    <xdr:pic>
      <xdr:nvPicPr>
        <xdr:cNvPr id="12" name="Graphic 11" descr="User with solid fill">
          <a:extLst>
            <a:ext uri="{FF2B5EF4-FFF2-40B4-BE49-F238E27FC236}">
              <a16:creationId xmlns:a16="http://schemas.microsoft.com/office/drawing/2014/main" id="{0B31F649-BAEB-4CD9-BA39-81C26C21E75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793942" y="642652"/>
          <a:ext cx="184638" cy="182125"/>
        </a:xfrm>
        <a:prstGeom prst="rect">
          <a:avLst/>
        </a:prstGeom>
      </xdr:spPr>
    </xdr:pic>
    <xdr:clientData/>
  </xdr:twoCellAnchor>
  <xdr:twoCellAnchor editAs="oneCell">
    <xdr:from>
      <xdr:col>0</xdr:col>
      <xdr:colOff>87829</xdr:colOff>
      <xdr:row>6</xdr:row>
      <xdr:rowOff>43139</xdr:rowOff>
    </xdr:from>
    <xdr:to>
      <xdr:col>1</xdr:col>
      <xdr:colOff>123043</xdr:colOff>
      <xdr:row>21</xdr:row>
      <xdr:rowOff>5946</xdr:rowOff>
    </xdr:to>
    <mc:AlternateContent xmlns:mc="http://schemas.openxmlformats.org/markup-compatibility/2006" xmlns:a14="http://schemas.microsoft.com/office/drawing/2010/main">
      <mc:Choice Requires="a14">
        <xdr:graphicFrame macro="">
          <xdr:nvGraphicFramePr>
            <xdr:cNvPr id="26" name="Date (Month)">
              <a:extLst>
                <a:ext uri="{FF2B5EF4-FFF2-40B4-BE49-F238E27FC236}">
                  <a16:creationId xmlns:a16="http://schemas.microsoft.com/office/drawing/2014/main" id="{5438B632-F76E-43EF-8E76-EFC83C53A7F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829" y="1140936"/>
              <a:ext cx="643307" cy="2707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244230</xdr:colOff>
      <xdr:row>4</xdr:row>
      <xdr:rowOff>111013</xdr:rowOff>
    </xdr:from>
    <xdr:to>
      <xdr:col>3</xdr:col>
      <xdr:colOff>186503</xdr:colOff>
      <xdr:row>5</xdr:row>
      <xdr:rowOff>164303</xdr:rowOff>
    </xdr:to>
    <xdr:graphicFrame macro="">
      <xdr:nvGraphicFramePr>
        <xdr:cNvPr id="32" name="Chart 31">
          <a:extLst>
            <a:ext uri="{FF2B5EF4-FFF2-40B4-BE49-F238E27FC236}">
              <a16:creationId xmlns:a16="http://schemas.microsoft.com/office/drawing/2014/main" id="{02537E32-4B4C-4739-BE48-791BCA3ED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266434</xdr:colOff>
      <xdr:row>4</xdr:row>
      <xdr:rowOff>159860</xdr:rowOff>
    </xdr:from>
    <xdr:to>
      <xdr:col>5</xdr:col>
      <xdr:colOff>195386</xdr:colOff>
      <xdr:row>5</xdr:row>
      <xdr:rowOff>168741</xdr:rowOff>
    </xdr:to>
    <xdr:graphicFrame macro="">
      <xdr:nvGraphicFramePr>
        <xdr:cNvPr id="33" name="Chart 32">
          <a:extLst>
            <a:ext uri="{FF2B5EF4-FFF2-40B4-BE49-F238E27FC236}">
              <a16:creationId xmlns:a16="http://schemas.microsoft.com/office/drawing/2014/main" id="{E17842EA-61DA-4222-B1E2-5E6F8060F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306552</xdr:colOff>
      <xdr:row>4</xdr:row>
      <xdr:rowOff>119215</xdr:rowOff>
    </xdr:from>
    <xdr:to>
      <xdr:col>7</xdr:col>
      <xdr:colOff>301686</xdr:colOff>
      <xdr:row>5</xdr:row>
      <xdr:rowOff>168055</xdr:rowOff>
    </xdr:to>
    <xdr:graphicFrame macro="">
      <xdr:nvGraphicFramePr>
        <xdr:cNvPr id="42" name="Chart 41">
          <a:extLst>
            <a:ext uri="{FF2B5EF4-FFF2-40B4-BE49-F238E27FC236}">
              <a16:creationId xmlns:a16="http://schemas.microsoft.com/office/drawing/2014/main" id="{C90CC8F8-9BA8-415B-8B7D-A85C8590E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241023</xdr:colOff>
      <xdr:row>6</xdr:row>
      <xdr:rowOff>60255</xdr:rowOff>
    </xdr:from>
    <xdr:to>
      <xdr:col>7</xdr:col>
      <xdr:colOff>256295</xdr:colOff>
      <xdr:row>9</xdr:row>
      <xdr:rowOff>50986</xdr:rowOff>
    </xdr:to>
    <xdr:graphicFrame macro="">
      <xdr:nvGraphicFramePr>
        <xdr:cNvPr id="43" name="Chart 42">
          <a:extLst>
            <a:ext uri="{FF2B5EF4-FFF2-40B4-BE49-F238E27FC236}">
              <a16:creationId xmlns:a16="http://schemas.microsoft.com/office/drawing/2014/main" id="{14759CE4-AA94-4F04-817B-29C6A39CC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64240</xdr:colOff>
      <xdr:row>2</xdr:row>
      <xdr:rowOff>112057</xdr:rowOff>
    </xdr:from>
    <xdr:to>
      <xdr:col>1</xdr:col>
      <xdr:colOff>185311</xdr:colOff>
      <xdr:row>6</xdr:row>
      <xdr:rowOff>3111</xdr:rowOff>
    </xdr:to>
    <xdr:sp macro="" textlink="">
      <xdr:nvSpPr>
        <xdr:cNvPr id="44" name="Rectangle: Rounded Corners 43">
          <a:extLst>
            <a:ext uri="{FF2B5EF4-FFF2-40B4-BE49-F238E27FC236}">
              <a16:creationId xmlns:a16="http://schemas.microsoft.com/office/drawing/2014/main" id="{A8D94089-A4C5-422A-80C5-19982352AF5E}"/>
            </a:ext>
          </a:extLst>
        </xdr:cNvPr>
        <xdr:cNvSpPr/>
      </xdr:nvSpPr>
      <xdr:spPr>
        <a:xfrm>
          <a:off x="64240" y="482680"/>
          <a:ext cx="731363" cy="632299"/>
        </a:xfrm>
        <a:prstGeom prst="roundRect">
          <a:avLst>
            <a:gd name="adj" fmla="val 865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101995</xdr:colOff>
      <xdr:row>2</xdr:row>
      <xdr:rowOff>161218</xdr:rowOff>
    </xdr:from>
    <xdr:to>
      <xdr:col>1</xdr:col>
      <xdr:colOff>131606</xdr:colOff>
      <xdr:row>5</xdr:row>
      <xdr:rowOff>143231</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D3F5B4BB-63E1-48F8-A891-CDCA1606366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1995" y="527150"/>
              <a:ext cx="637704" cy="530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253077</xdr:colOff>
      <xdr:row>10</xdr:row>
      <xdr:rowOff>41767</xdr:rowOff>
    </xdr:from>
    <xdr:to>
      <xdr:col>7</xdr:col>
      <xdr:colOff>255225</xdr:colOff>
      <xdr:row>20</xdr:row>
      <xdr:rowOff>117364</xdr:rowOff>
    </xdr:to>
    <xdr:graphicFrame macro="">
      <xdr:nvGraphicFramePr>
        <xdr:cNvPr id="48" name="Chart 47">
          <a:extLst>
            <a:ext uri="{FF2B5EF4-FFF2-40B4-BE49-F238E27FC236}">
              <a16:creationId xmlns:a16="http://schemas.microsoft.com/office/drawing/2014/main" id="{F33E22C8-2D5F-4405-A604-445B4C3FD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252923</xdr:colOff>
      <xdr:row>12</xdr:row>
      <xdr:rowOff>48431</xdr:rowOff>
    </xdr:from>
    <xdr:to>
      <xdr:col>4</xdr:col>
      <xdr:colOff>166821</xdr:colOff>
      <xdr:row>20</xdr:row>
      <xdr:rowOff>32287</xdr:rowOff>
    </xdr:to>
    <xdr:graphicFrame macro="">
      <xdr:nvGraphicFramePr>
        <xdr:cNvPr id="49" name="Chart 48">
          <a:extLst>
            <a:ext uri="{FF2B5EF4-FFF2-40B4-BE49-F238E27FC236}">
              <a16:creationId xmlns:a16="http://schemas.microsoft.com/office/drawing/2014/main" id="{5C804D06-734D-4715-A3ED-373A2A799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358937</xdr:colOff>
      <xdr:row>12</xdr:row>
      <xdr:rowOff>11551</xdr:rowOff>
    </xdr:from>
    <xdr:to>
      <xdr:col>11</xdr:col>
      <xdr:colOff>160618</xdr:colOff>
      <xdr:row>21</xdr:row>
      <xdr:rowOff>53820</xdr:rowOff>
    </xdr:to>
    <xdr:sp macro="" textlink="">
      <xdr:nvSpPr>
        <xdr:cNvPr id="34" name="Rectangle: Rounded Corners 33">
          <a:extLst>
            <a:ext uri="{FF2B5EF4-FFF2-40B4-BE49-F238E27FC236}">
              <a16:creationId xmlns:a16="http://schemas.microsoft.com/office/drawing/2014/main" id="{90AF3B32-73FC-4AC3-B448-2AD2E2D88D37}"/>
            </a:ext>
          </a:extLst>
        </xdr:cNvPr>
        <xdr:cNvSpPr/>
      </xdr:nvSpPr>
      <xdr:spPr>
        <a:xfrm>
          <a:off x="4571482" y="2188694"/>
          <a:ext cx="2250966" cy="1675126"/>
        </a:xfrm>
        <a:prstGeom prst="roundRect">
          <a:avLst>
            <a:gd name="adj" fmla="val 2769"/>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372318</xdr:colOff>
      <xdr:row>2</xdr:row>
      <xdr:rowOff>141550</xdr:rowOff>
    </xdr:from>
    <xdr:to>
      <xdr:col>11</xdr:col>
      <xdr:colOff>131981</xdr:colOff>
      <xdr:row>11</xdr:row>
      <xdr:rowOff>132091</xdr:rowOff>
    </xdr:to>
    <xdr:graphicFrame macro="">
      <xdr:nvGraphicFramePr>
        <xdr:cNvPr id="36" name="Chart 35">
          <a:extLst>
            <a:ext uri="{FF2B5EF4-FFF2-40B4-BE49-F238E27FC236}">
              <a16:creationId xmlns:a16="http://schemas.microsoft.com/office/drawing/2014/main" id="{4C009D67-FD1B-4140-BC5C-0D2867C40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372318</xdr:colOff>
      <xdr:row>12</xdr:row>
      <xdr:rowOff>48431</xdr:rowOff>
    </xdr:from>
    <xdr:to>
      <xdr:col>11</xdr:col>
      <xdr:colOff>105472</xdr:colOff>
      <xdr:row>21</xdr:row>
      <xdr:rowOff>0</xdr:rowOff>
    </xdr:to>
    <xdr:graphicFrame macro="">
      <xdr:nvGraphicFramePr>
        <xdr:cNvPr id="45" name="Chart 44">
          <a:extLst>
            <a:ext uri="{FF2B5EF4-FFF2-40B4-BE49-F238E27FC236}">
              <a16:creationId xmlns:a16="http://schemas.microsoft.com/office/drawing/2014/main" id="{03B37693-DB2A-4C49-9936-01B2690C1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265903</xdr:colOff>
      <xdr:row>20</xdr:row>
      <xdr:rowOff>33000</xdr:rowOff>
    </xdr:from>
    <xdr:to>
      <xdr:col>4</xdr:col>
      <xdr:colOff>166821</xdr:colOff>
      <xdr:row>21</xdr:row>
      <xdr:rowOff>0</xdr:rowOff>
    </xdr:to>
    <xdr:sp macro="" textlink="">
      <xdr:nvSpPr>
        <xdr:cNvPr id="5" name="TextBox 4">
          <a:extLst>
            <a:ext uri="{FF2B5EF4-FFF2-40B4-BE49-F238E27FC236}">
              <a16:creationId xmlns:a16="http://schemas.microsoft.com/office/drawing/2014/main" id="{3AF76593-6477-46A4-810A-DF5F58C6C286}"/>
            </a:ext>
          </a:extLst>
        </xdr:cNvPr>
        <xdr:cNvSpPr txBox="1"/>
      </xdr:nvSpPr>
      <xdr:spPr>
        <a:xfrm>
          <a:off x="874166" y="3709316"/>
          <a:ext cx="1725708" cy="15081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a:solidFill>
                <a:schemeClr val="accent1">
                  <a:lumMod val="50000"/>
                </a:schemeClr>
              </a:solidFill>
            </a:rPr>
            <a:t>Monthly</a:t>
          </a:r>
          <a:r>
            <a:rPr lang="en-US" sz="700" baseline="0">
              <a:solidFill>
                <a:schemeClr val="accent1">
                  <a:lumMod val="50000"/>
                </a:schemeClr>
              </a:solidFill>
            </a:rPr>
            <a:t> trend of no.of patients</a:t>
          </a:r>
          <a:endParaRPr lang="en-US" sz="700">
            <a:solidFill>
              <a:schemeClr val="accent1">
                <a:lumMod val="50000"/>
              </a:schemeClr>
            </a:solidFill>
          </a:endParaRPr>
        </a:p>
      </xdr:txBody>
    </xdr:sp>
    <xdr:clientData/>
  </xdr:twoCellAnchor>
  <xdr:twoCellAnchor>
    <xdr:from>
      <xdr:col>7</xdr:col>
      <xdr:colOff>379179</xdr:colOff>
      <xdr:row>20</xdr:row>
      <xdr:rowOff>33000</xdr:rowOff>
    </xdr:from>
    <xdr:to>
      <xdr:col>10</xdr:col>
      <xdr:colOff>609744</xdr:colOff>
      <xdr:row>21</xdr:row>
      <xdr:rowOff>30672</xdr:rowOff>
    </xdr:to>
    <xdr:sp macro="" textlink="">
      <xdr:nvSpPr>
        <xdr:cNvPr id="51" name="TextBox 50">
          <a:extLst>
            <a:ext uri="{FF2B5EF4-FFF2-40B4-BE49-F238E27FC236}">
              <a16:creationId xmlns:a16="http://schemas.microsoft.com/office/drawing/2014/main" id="{A2E76AB6-6454-42ED-81ED-2FEF0844250C}"/>
            </a:ext>
          </a:extLst>
        </xdr:cNvPr>
        <xdr:cNvSpPr txBox="1"/>
      </xdr:nvSpPr>
      <xdr:spPr>
        <a:xfrm>
          <a:off x="4588994" y="3678370"/>
          <a:ext cx="2065009" cy="17994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a:solidFill>
                <a:schemeClr val="accent1">
                  <a:lumMod val="50000"/>
                </a:schemeClr>
              </a:solidFill>
            </a:rPr>
            <a:t>Total</a:t>
          </a:r>
          <a:r>
            <a:rPr lang="en-US" sz="700" baseline="0">
              <a:solidFill>
                <a:schemeClr val="accent1">
                  <a:lumMod val="50000"/>
                </a:schemeClr>
              </a:solidFill>
            </a:rPr>
            <a:t> no.of referrals made by department</a:t>
          </a:r>
          <a:endParaRPr lang="en-US" sz="700">
            <a:solidFill>
              <a:schemeClr val="accent1">
                <a:lumMod val="50000"/>
              </a:schemeClr>
            </a:solidFill>
          </a:endParaRPr>
        </a:p>
      </xdr:txBody>
    </xdr:sp>
    <xdr:clientData/>
  </xdr:twoCellAnchor>
  <xdr:twoCellAnchor>
    <xdr:from>
      <xdr:col>4</xdr:col>
      <xdr:colOff>354899</xdr:colOff>
      <xdr:row>20</xdr:row>
      <xdr:rowOff>33000</xdr:rowOff>
    </xdr:from>
    <xdr:to>
      <xdr:col>7</xdr:col>
      <xdr:colOff>324368</xdr:colOff>
      <xdr:row>20</xdr:row>
      <xdr:rowOff>184005</xdr:rowOff>
    </xdr:to>
    <xdr:sp macro="" textlink="">
      <xdr:nvSpPr>
        <xdr:cNvPr id="52" name="TextBox 51">
          <a:extLst>
            <a:ext uri="{FF2B5EF4-FFF2-40B4-BE49-F238E27FC236}">
              <a16:creationId xmlns:a16="http://schemas.microsoft.com/office/drawing/2014/main" id="{BFC1574B-FB5F-4B55-9100-D8D9EF04E413}"/>
            </a:ext>
          </a:extLst>
        </xdr:cNvPr>
        <xdr:cNvSpPr txBox="1"/>
      </xdr:nvSpPr>
      <xdr:spPr>
        <a:xfrm>
          <a:off x="2793876" y="3713114"/>
          <a:ext cx="1730151" cy="1510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a:solidFill>
                <a:schemeClr val="accent1">
                  <a:lumMod val="50000"/>
                </a:schemeClr>
              </a:solidFill>
            </a:rPr>
            <a:t>No.of</a:t>
          </a:r>
          <a:r>
            <a:rPr lang="en-US" sz="700" baseline="0">
              <a:solidFill>
                <a:schemeClr val="accent1">
                  <a:lumMod val="50000"/>
                </a:schemeClr>
              </a:solidFill>
            </a:rPr>
            <a:t> patients by Age Group</a:t>
          </a:r>
          <a:endParaRPr lang="en-US" sz="700">
            <a:solidFill>
              <a:schemeClr val="accent1">
                <a:lumMod val="50000"/>
              </a:schemeClr>
            </a:solidFill>
          </a:endParaRPr>
        </a:p>
      </xdr:txBody>
    </xdr:sp>
    <xdr:clientData/>
  </xdr:twoCellAnchor>
  <xdr:twoCellAnchor>
    <xdr:from>
      <xdr:col>7</xdr:col>
      <xdr:colOff>531579</xdr:colOff>
      <xdr:row>10</xdr:row>
      <xdr:rowOff>183588</xdr:rowOff>
    </xdr:from>
    <xdr:to>
      <xdr:col>11</xdr:col>
      <xdr:colOff>105472</xdr:colOff>
      <xdr:row>11</xdr:row>
      <xdr:rowOff>132090</xdr:rowOff>
    </xdr:to>
    <xdr:sp macro="" textlink="">
      <xdr:nvSpPr>
        <xdr:cNvPr id="53" name="TextBox 52">
          <a:extLst>
            <a:ext uri="{FF2B5EF4-FFF2-40B4-BE49-F238E27FC236}">
              <a16:creationId xmlns:a16="http://schemas.microsoft.com/office/drawing/2014/main" id="{16D15F2A-4169-4C03-ABAC-D9BE81953751}"/>
            </a:ext>
          </a:extLst>
        </xdr:cNvPr>
        <xdr:cNvSpPr txBox="1"/>
      </xdr:nvSpPr>
      <xdr:spPr>
        <a:xfrm>
          <a:off x="4726035" y="2019472"/>
          <a:ext cx="2010219" cy="13209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solidFill>
                <a:schemeClr val="accent1">
                  <a:lumMod val="50000"/>
                </a:schemeClr>
              </a:solidFill>
            </a:rPr>
            <a:t>Gender wise analysis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279400</xdr:colOff>
      <xdr:row>0</xdr:row>
      <xdr:rowOff>146050</xdr:rowOff>
    </xdr:from>
    <xdr:to>
      <xdr:col>12</xdr:col>
      <xdr:colOff>196850</xdr:colOff>
      <xdr:row>19</xdr:row>
      <xdr:rowOff>101600</xdr:rowOff>
    </xdr:to>
    <xdr:graphicFrame macro="">
      <xdr:nvGraphicFramePr>
        <xdr:cNvPr id="2" name="Chart 1">
          <a:extLst>
            <a:ext uri="{FF2B5EF4-FFF2-40B4-BE49-F238E27FC236}">
              <a16:creationId xmlns:a16="http://schemas.microsoft.com/office/drawing/2014/main" id="{E6A74EA9-81CB-4766-9532-3798183E6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0.06409</cdr:x>
      <cdr:y>0.13419</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42E65A7-98DE-482D-8782-EDA5634B6C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63550" cy="4635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6458336" backgroundQuery="1" createdVersion="7" refreshedVersion="7" minRefreshableVersion="3" recordCount="0" supportSubquery="1" supportAdvancedDrill="1" xr:uid="{10761359-F3A3-4667-B50B-5149EAA50500}">
  <cacheSource type="external" connectionId="3"/>
  <cacheFields count="4">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 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6689814" backgroundQuery="1" createdVersion="7" refreshedVersion="7" minRefreshableVersion="3" recordCount="0" supportSubquery="1" supportAdvancedDrill="1" xr:uid="{8E91E05E-838D-4EE2-99EA-088FC1B6390E}">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7037037" backgroundQuery="1" createdVersion="7" refreshedVersion="7" minRefreshableVersion="3" recordCount="0" supportSubquery="1" supportAdvancedDrill="1" xr:uid="{D1AAFEA8-120B-4E4E-9C18-0B1AE41CDFAC}">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7268522" backgroundQuery="1" createdVersion="7" refreshedVersion="7" minRefreshableVersion="3" recordCount="0" supportSubquery="1" supportAdvancedDrill="1" xr:uid="{A878CD4D-AB41-477C-8202-1DAD847EAAA8}">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7731484" backgroundQuery="1" createdVersion="7" refreshedVersion="7" minRefreshableVersion="3" recordCount="0" supportSubquery="1" supportAdvancedDrill="1" xr:uid="{64632ACE-2F13-4AAF-B576-DCDAA8A1430C}">
  <cacheSource type="external" connectionId="3"/>
  <cacheFields count="4">
    <cacheField name="[Calendar Table].[Date (Day)].[Date (Day)]" caption="Date (Day)" numFmtId="0" hierarchy="2"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1-Jan" u="1"/>
      </sharedItems>
    </cacheField>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8541669" backgroundQuery="1" createdVersion="7" refreshedVersion="7" minRefreshableVersion="3" recordCount="0" supportSubquery="1" supportAdvancedDrill="1" xr:uid="{8724CADB-3D28-489B-A10E-24E8701EF8A8}">
  <cacheSource type="external" connectionId="3"/>
  <cacheFields count="4">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9004631" backgroundQuery="1" createdVersion="7" refreshedVersion="7" minRefreshableVersion="3" recordCount="0" supportSubquery="1" supportAdvancedDrill="1" xr:uid="{681B1F57-EBC8-412B-B950-5D3E26413C8D}">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39814816" backgroundQuery="1" createdVersion="7" refreshedVersion="7" minRefreshableVersion="3" recordCount="0" supportSubquery="1" supportAdvancedDrill="1" xr:uid="{887442F6-C6BE-4D93-99CF-AF5393E14673}">
  <cacheSource type="external" connectionId="3"/>
  <cacheFields count="3">
    <cacheField name="[Calendar Table].[Date (Year)].[Date (Year)]" caption="Date (Year)" numFmtId="0" hierarchy="3" level="1">
      <sharedItems count="1">
        <s v="2024"/>
      </sharedItems>
    </cacheField>
    <cacheField name="[Measures].[Count of Patient Id]" caption="Count of Patient Id" numFmtId="0" hierarchy="23" level="32767"/>
    <cacheField name="[Calendar Table].[Date (Month)].[Date (Month)]" caption="Date (Month)"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0"/>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40162039" backgroundQuery="1" createdVersion="7" refreshedVersion="7" minRefreshableVersion="3" recordCount="0" supportSubquery="1" supportAdvancedDrill="1" xr:uid="{0F2A1F9A-EA1C-4C5E-9014-3A665B5DA0EF}">
  <cacheSource type="external" connectionId="3"/>
  <cacheFields count="4">
    <cacheField name="[Hospital Emergency Room Data].[Age Group].[Age Group]" caption="Age Group" numFmtId="0" hierarchy="16" level="1">
      <sharedItems count="8">
        <s v="0-10"/>
        <s v="10-20"/>
        <s v="20-30"/>
        <s v="30-40"/>
        <s v="40-50"/>
        <s v="50-60"/>
        <s v="60-70"/>
        <s v="70-80"/>
      </sharedItems>
    </cacheField>
    <cacheField name="[Measures].[Count of Patient Id]" caption="Count of Patient Id" numFmtId="0" hierarchy="23"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40509262" backgroundQuery="1" createdVersion="7" refreshedVersion="7" minRefreshableVersion="3" recordCount="0" supportSubquery="1" supportAdvancedDrill="1" xr:uid="{49B57E37-8CCB-46DD-B872-330156B0D812}">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8.570140856478" backgroundQuery="1" createdVersion="7" refreshedVersion="7" minRefreshableVersion="3" recordCount="0" supportSubquery="1" supportAdvancedDrill="1" xr:uid="{D6198039-0F1D-465D-8EBF-B4D2A6F86D6D}">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992189351855" backgroundQuery="1" createdVersion="3" refreshedVersion="7" minRefreshableVersion="3" recordCount="0" supportSubquery="1" supportAdvancedDrill="1" xr:uid="{00BEA1AC-C06D-4421-859C-E786839A5051}">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ing Status]" caption="Waiting Status" attribute="1" defaultMemberUniqueName="[Hospital Emergency Room Data].[Waiting Status].[All]" allUniqueName="[Hospital Emergency Room Data].[Waiting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479070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71665-59FC-4729-90D4-618832034C3E}" name="PivotTable11" cacheId="9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U9:V18"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3"/>
    </i>
    <i>
      <x v="1"/>
    </i>
    <i>
      <x v="6"/>
    </i>
    <i>
      <x/>
    </i>
    <i>
      <x v="5"/>
    </i>
    <i>
      <x v="2"/>
    </i>
    <i>
      <x v="4"/>
    </i>
    <i t="grand">
      <x/>
    </i>
  </rowItems>
  <colItems count="1">
    <i/>
  </colItems>
  <dataFields count="1">
    <dataField name="Count of Department Referral"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6FF2F-0AB4-4432-9401-C19BAAE64A34}" name="PivotTable10" cacheId="9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19:M28"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84558-10A2-40D1-B664-B2B63E4486BC}" name="PivotTable9" cacheId="94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L13:M1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atient Id" fld="1" subtotal="count" baseField="0" baseItem="0"/>
  </dataField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89CAFF-AE5B-4800-9228-9D41F2830EB7}" name="PivotTable5" cacheId="9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L31:M3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9F8016-B4A3-4365-9927-3D0C598593BF}" name="PivotTable7" cacheId="9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1">
    <format dxfId="9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9DD057-5718-4074-A3B5-3F897765D109}" name="PivotTable3" cacheId="935" applyNumberFormats="0" applyBorderFormats="0" applyFontFormats="0" applyPatternFormats="0" applyAlignmentFormats="0" applyWidthHeightFormats="1" dataCaption="Values" tag="a420d3f0-bd1c-4ef2-a90c-f9a97028f121" updatedVersion="7" minRefreshableVersion="3" useAutoFormatting="1" subtotalHiddenItems="1" itemPrintTitles="1" createdVersion="7"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6">
      <pivotArea outline="0" collapsedLevelsAreSubtotals="1" fieldPosition="0"/>
    </format>
  </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g waiting time of patient"/>
    <pivotHierarchy dragToData="1"/>
    <pivotHierarchy dragToData="1" caption="Average daily satisfaction scor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B345A3-D5A4-4E25-90B7-C6B85192A01C}" name="PivotTable6" cacheId="9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F5:G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1"/>
  </dataFields>
  <formats count="2">
    <format dxfId="98">
      <pivotArea collapsedLevelsAreSubtotals="1" fieldPosition="0">
        <references count="1">
          <reference field="0" count="1">
            <x v="31"/>
          </reference>
        </references>
      </pivotArea>
    </format>
    <format dxfId="97">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F7D528-A3C9-407B-A7AE-3C70106E039D}" name="PivotTable8" cacheId="9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5:M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AD1A0-0AF6-4593-9E65-D6F345A74852}" name="PivotTable2" cacheId="932" applyNumberFormats="0" applyBorderFormats="0" applyFontFormats="0" applyPatternFormats="0" applyAlignmentFormats="0" applyWidthHeightFormats="1" dataCaption="Values" tag="a420d3f0-bd1c-4ef2-a90c-f9a97028f121" updatedVersion="7" minRefreshableVersion="3" useAutoFormatting="1" subtotalHiddenItems="1" itemPrintTitles="1" createdVersion="7"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9">
      <pivotArea outline="0" collapsedLevelsAreSubtotals="1" fieldPosition="0"/>
    </format>
  </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g waiting time of patient"/>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815C9F-9423-44B1-A809-32BA9EC420C0}" name="PivotTable4" cacheId="926" applyNumberFormats="0" applyBorderFormats="0" applyFontFormats="0" applyPatternFormats="0" applyAlignmentFormats="0" applyWidthHeightFormats="1" dataCaption="Values" tag="f2c8b84e-9193-4e70-b7cd-740080bb6be6" updatedVersion="7" minRefreshableVersion="3" useAutoFormatting="1" subtotalHiddenItems="1" itemPrintTitles="1" createdVersion="7" indent="0" outline="1" outlineData="1" multipleFieldFilters="0" chartFormat="6">
  <location ref="B5:C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643135-89E9-4BF0-B2D1-4B91E5D8F255}" name="PivotTable1" cacheId="929" applyNumberFormats="0" applyBorderFormats="0" applyFontFormats="0" applyPatternFormats="0" applyAlignmentFormats="0" applyWidthHeightFormats="1" dataCaption="Values" tag="f2c8b84e-9193-4e70-b7cd-740080bb6be6" updatedVersion="7" minRefreshableVersion="3" useAutoFormatting="1" subtotalHiddenItems="1" itemPrintTitles="1" createdVersion="7"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Table].[Date (Month)].&amp;[Mar]"/>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43DAD31-C315-4CE6-89A9-F903872FCC1C}" sourceName="[Calendar 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5"/>
  </pivotTables>
  <data>
    <olap pivotCacheId="247907066">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nd="1"/>
              <i n="[Calendar Table].[Date (Month)].&amp;[Dec]" c="Dec" nd="1"/>
            </range>
          </ranges>
        </level>
      </levels>
      <selections count="1">
        <selection n="[Calendar 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325CC68-F129-4501-84E8-BC83FFCF92BB}" sourceName="[Calendar Table].[Date (Year)]">
  <pivotTables>
    <pivotTable tabId="1" name="PivotTable9"/>
    <pivotTable tabId="1" name="PivotTable1"/>
    <pivotTable tabId="1" name="PivotTable2"/>
    <pivotTable tabId="1" name="PivotTable3"/>
    <pivotTable tabId="1" name="PivotTable4"/>
    <pivotTable tabId="1" name="PivotTable6"/>
    <pivotTable tabId="1" name="PivotTable7"/>
    <pivotTable tabId="1" name="PivotTable8"/>
    <pivotTable tabId="1" name="PivotTable10"/>
    <pivotTable tabId="1" name="PivotTable11"/>
    <pivotTable tabId="1" name="PivotTable5"/>
  </pivotTables>
  <data>
    <olap pivotCacheId="247907066">
      <levels count="2">
        <level uniqueName="[Calendar Table].[Date (Year)].[(All)]" sourceCaption="(All)" count="0"/>
        <level uniqueName="[Calendar Table].[Date (Year)].[Date (Year)]" sourceCaption="Date (Year)" count="2">
          <ranges>
            <range startItem="0">
              <i n="[Calendar Table].[Date (Year)].&amp;[2024]" c="2024"/>
              <i n="[Calendar Table].[Date (Year)].&amp;[2023]" c="2023" nd="1"/>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1AFB24C-EBCB-4874-A45E-C71CD8D28852}" cache="Slicer_Date__Month" showCaption="0" level="1" rowHeight="182880"/>
  <slicer name="Date (Year)" xr10:uid="{9890BB33-F8A5-4C14-9D29-C45B9240C319}" cache="Slicer_Date__Year" caption="Date (Year)" showCaption="0" level="1" rowHeight="1566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12A4-9351-4602-B3DF-A7109E534CEA}">
  <dimension ref="A1:V37"/>
  <sheetViews>
    <sheetView topLeftCell="F1" zoomScale="77" zoomScaleNormal="114" workbookViewId="0">
      <selection activeCell="N29" sqref="N29"/>
    </sheetView>
  </sheetViews>
  <sheetFormatPr defaultRowHeight="14.5" x14ac:dyDescent="0.35"/>
  <cols>
    <col min="1" max="1" width="32.1796875" bestFit="1" customWidth="1"/>
    <col min="2" max="2" width="13.453125" bestFit="1" customWidth="1"/>
    <col min="3" max="3" width="23.90625" bestFit="1" customWidth="1"/>
    <col min="4" max="5" width="8.453125" bestFit="1" customWidth="1"/>
    <col min="6" max="6" width="13.453125" bestFit="1" customWidth="1"/>
    <col min="7" max="7" width="25.08984375" bestFit="1" customWidth="1"/>
    <col min="8" max="8" width="8.453125" bestFit="1" customWidth="1"/>
    <col min="9" max="9" width="13.453125" bestFit="1" customWidth="1"/>
    <col min="10" max="10" width="32.1796875" bestFit="1" customWidth="1"/>
    <col min="11" max="11" width="8.453125" bestFit="1" customWidth="1"/>
    <col min="12" max="12" width="13.453125" bestFit="1" customWidth="1"/>
    <col min="13" max="13" width="16.81640625" bestFit="1" customWidth="1"/>
    <col min="14" max="14" width="13.453125" bestFit="1" customWidth="1"/>
    <col min="15" max="15" width="16.81640625" bestFit="1" customWidth="1"/>
    <col min="16" max="17" width="9.08984375" bestFit="1" customWidth="1"/>
    <col min="18" max="18" width="13.453125" bestFit="1" customWidth="1"/>
    <col min="19" max="19" width="21.54296875" bestFit="1" customWidth="1"/>
    <col min="20" max="20" width="9.08984375" bestFit="1" customWidth="1"/>
    <col min="21" max="21" width="15.54296875" bestFit="1" customWidth="1"/>
    <col min="22" max="22" width="26.453125" bestFit="1" customWidth="1"/>
    <col min="23" max="43" width="10.08984375" bestFit="1" customWidth="1"/>
    <col min="44" max="52" width="9.08984375" bestFit="1" customWidth="1"/>
    <col min="53" max="71" width="10.08984375" bestFit="1" customWidth="1"/>
    <col min="72" max="80" width="9.08984375" bestFit="1" customWidth="1"/>
    <col min="81" max="102" width="10.08984375" bestFit="1" customWidth="1"/>
    <col min="103" max="111" width="9.08984375" bestFit="1" customWidth="1"/>
    <col min="112" max="132" width="10.08984375" bestFit="1" customWidth="1"/>
    <col min="133" max="141" width="9.08984375" bestFit="1" customWidth="1"/>
    <col min="142" max="163" width="10.08984375" bestFit="1" customWidth="1"/>
    <col min="164" max="172" width="9.08984375" bestFit="1" customWidth="1"/>
    <col min="173" max="193" width="10.08984375" bestFit="1" customWidth="1"/>
    <col min="194" max="202" width="9.08984375" bestFit="1" customWidth="1"/>
    <col min="203" max="224" width="10.08984375" bestFit="1" customWidth="1"/>
    <col min="225" max="233" width="9.08984375" bestFit="1" customWidth="1"/>
    <col min="234" max="255" width="10.08984375" bestFit="1" customWidth="1"/>
    <col min="256" max="264" width="9.08984375" bestFit="1" customWidth="1"/>
    <col min="265" max="294" width="10.08984375" bestFit="1" customWidth="1"/>
    <col min="295" max="316" width="11.1796875" bestFit="1" customWidth="1"/>
    <col min="317" max="325" width="10.08984375" bestFit="1" customWidth="1"/>
    <col min="326" max="346" width="11.1796875" bestFit="1" customWidth="1"/>
    <col min="347" max="355" width="10.08984375" bestFit="1" customWidth="1"/>
    <col min="356" max="377" width="11.1796875" bestFit="1" customWidth="1"/>
    <col min="378" max="386" width="9.08984375" bestFit="1" customWidth="1"/>
    <col min="387" max="408" width="10.08984375" bestFit="1" customWidth="1"/>
    <col min="409" max="417" width="9.08984375" bestFit="1" customWidth="1"/>
    <col min="418" max="437" width="10.08984375" bestFit="1" customWidth="1"/>
    <col min="438" max="446" width="9.08984375" bestFit="1" customWidth="1"/>
    <col min="447" max="468" width="10.08984375" bestFit="1" customWidth="1"/>
    <col min="469" max="477" width="9.08984375" bestFit="1" customWidth="1"/>
    <col min="478" max="498" width="10.08984375" bestFit="1" customWidth="1"/>
    <col min="499" max="507" width="9.08984375" bestFit="1" customWidth="1"/>
    <col min="508" max="529" width="10.08984375" bestFit="1" customWidth="1"/>
    <col min="530" max="538" width="9.08984375" bestFit="1" customWidth="1"/>
    <col min="539" max="559" width="10.08984375" bestFit="1" customWidth="1"/>
    <col min="560" max="568" width="9.08984375" bestFit="1" customWidth="1"/>
    <col min="569" max="590" width="10.08984375" bestFit="1" customWidth="1"/>
    <col min="591" max="599" width="9.08984375" bestFit="1" customWidth="1"/>
    <col min="600" max="621" width="10.08984375" bestFit="1" customWidth="1"/>
    <col min="622" max="630" width="9.08984375" bestFit="1" customWidth="1"/>
    <col min="631" max="660" width="10.08984375" bestFit="1" customWidth="1"/>
    <col min="661" max="682" width="11.1796875" bestFit="1" customWidth="1"/>
    <col min="683" max="691" width="10.08984375" bestFit="1" customWidth="1"/>
    <col min="692" max="712" width="11.1796875" bestFit="1" customWidth="1"/>
    <col min="713" max="721" width="10.08984375" bestFit="1" customWidth="1"/>
    <col min="722" max="743" width="11.1796875" bestFit="1" customWidth="1"/>
    <col min="744" max="744" width="10.7265625" bestFit="1" customWidth="1"/>
    <col min="745" max="9216" width="15.26953125" bestFit="1" customWidth="1"/>
    <col min="9217" max="9217" width="10.7265625" bestFit="1" customWidth="1"/>
  </cols>
  <sheetData>
    <row r="1" spans="1:22" x14ac:dyDescent="0.35">
      <c r="A1" t="s">
        <v>0</v>
      </c>
    </row>
    <row r="2" spans="1:22" x14ac:dyDescent="0.35">
      <c r="A2" s="1">
        <v>506</v>
      </c>
    </row>
    <row r="5" spans="1:22" x14ac:dyDescent="0.35">
      <c r="B5" s="4" t="s">
        <v>4</v>
      </c>
      <c r="C5" t="s">
        <v>0</v>
      </c>
      <c r="F5" s="4" t="s">
        <v>4</v>
      </c>
      <c r="G5" t="s">
        <v>1</v>
      </c>
      <c r="I5" s="4" t="s">
        <v>4</v>
      </c>
      <c r="J5" t="s">
        <v>2</v>
      </c>
      <c r="L5" s="4" t="s">
        <v>4</v>
      </c>
      <c r="M5" t="s">
        <v>8</v>
      </c>
    </row>
    <row r="6" spans="1:22" x14ac:dyDescent="0.35">
      <c r="B6" s="5" t="s">
        <v>30</v>
      </c>
      <c r="C6" s="1">
        <v>19</v>
      </c>
      <c r="F6" s="5" t="s">
        <v>30</v>
      </c>
      <c r="G6" s="7">
        <v>34.526315789473685</v>
      </c>
      <c r="I6" s="5" t="s">
        <v>30</v>
      </c>
      <c r="J6" s="7">
        <v>7.2</v>
      </c>
      <c r="L6" s="5" t="s">
        <v>6</v>
      </c>
      <c r="M6" s="1">
        <v>253</v>
      </c>
    </row>
    <row r="7" spans="1:22" x14ac:dyDescent="0.35">
      <c r="B7" s="5" t="s">
        <v>31</v>
      </c>
      <c r="C7" s="1">
        <v>24</v>
      </c>
      <c r="F7" s="5" t="s">
        <v>31</v>
      </c>
      <c r="G7" s="7">
        <v>33.708333333333336</v>
      </c>
      <c r="I7" s="5" t="s">
        <v>31</v>
      </c>
      <c r="J7" s="7">
        <v>6</v>
      </c>
      <c r="L7" s="5" t="s">
        <v>7</v>
      </c>
      <c r="M7" s="1">
        <v>253</v>
      </c>
    </row>
    <row r="8" spans="1:22" x14ac:dyDescent="0.35">
      <c r="B8" s="5" t="s">
        <v>32</v>
      </c>
      <c r="C8" s="1">
        <v>24</v>
      </c>
      <c r="F8" s="5" t="s">
        <v>32</v>
      </c>
      <c r="G8" s="7">
        <v>36.291666666666664</v>
      </c>
      <c r="I8" s="5" t="s">
        <v>32</v>
      </c>
      <c r="J8" s="7">
        <v>1.5</v>
      </c>
      <c r="L8" s="5" t="s">
        <v>3</v>
      </c>
      <c r="M8" s="1">
        <v>506</v>
      </c>
    </row>
    <row r="9" spans="1:22" x14ac:dyDescent="0.35">
      <c r="A9" t="s">
        <v>1</v>
      </c>
      <c r="B9" s="5" t="s">
        <v>33</v>
      </c>
      <c r="C9" s="1">
        <v>14</v>
      </c>
      <c r="F9" s="5" t="s">
        <v>33</v>
      </c>
      <c r="G9" s="7">
        <v>35.071428571428569</v>
      </c>
      <c r="I9" s="5" t="s">
        <v>33</v>
      </c>
      <c r="J9" s="7">
        <v>2.75</v>
      </c>
      <c r="U9" s="4" t="s">
        <v>4</v>
      </c>
      <c r="V9" t="s">
        <v>28</v>
      </c>
    </row>
    <row r="10" spans="1:22" x14ac:dyDescent="0.35">
      <c r="A10" s="3">
        <v>35.879446640316203</v>
      </c>
      <c r="B10" s="5" t="s">
        <v>34</v>
      </c>
      <c r="C10" s="1">
        <v>14</v>
      </c>
      <c r="F10" s="5" t="s">
        <v>34</v>
      </c>
      <c r="G10" s="7">
        <v>31.571428571428573</v>
      </c>
      <c r="I10" s="5" t="s">
        <v>34</v>
      </c>
      <c r="J10" s="7">
        <v>5</v>
      </c>
      <c r="U10" s="5" t="s">
        <v>27</v>
      </c>
      <c r="V10" s="1">
        <v>3</v>
      </c>
    </row>
    <row r="11" spans="1:22" x14ac:dyDescent="0.35">
      <c r="B11" s="5" t="s">
        <v>35</v>
      </c>
      <c r="C11" s="1">
        <v>16</v>
      </c>
      <c r="F11" s="5" t="s">
        <v>35</v>
      </c>
      <c r="G11" s="7">
        <v>31.8125</v>
      </c>
      <c r="I11" s="5" t="s">
        <v>35</v>
      </c>
      <c r="J11" s="7">
        <v>5.5</v>
      </c>
      <c r="U11" s="5" t="s">
        <v>23</v>
      </c>
      <c r="V11" s="1">
        <v>5</v>
      </c>
    </row>
    <row r="12" spans="1:22" x14ac:dyDescent="0.35">
      <c r="B12" s="5" t="s">
        <v>36</v>
      </c>
      <c r="C12" s="1">
        <v>26</v>
      </c>
      <c r="F12" s="5" t="s">
        <v>36</v>
      </c>
      <c r="G12" s="7">
        <v>36.846153846153847</v>
      </c>
      <c r="I12" s="5" t="s">
        <v>36</v>
      </c>
      <c r="J12" s="7">
        <v>5.0909090909090908</v>
      </c>
      <c r="U12" s="5" t="s">
        <v>21</v>
      </c>
      <c r="V12" s="1">
        <v>6</v>
      </c>
    </row>
    <row r="13" spans="1:22" x14ac:dyDescent="0.35">
      <c r="B13" s="5" t="s">
        <v>37</v>
      </c>
      <c r="C13" s="1">
        <v>14</v>
      </c>
      <c r="F13" s="5" t="s">
        <v>37</v>
      </c>
      <c r="G13" s="7">
        <v>34.071428571428569</v>
      </c>
      <c r="I13" s="5" t="s">
        <v>37</v>
      </c>
      <c r="J13" s="7">
        <v>7.666666666666667</v>
      </c>
      <c r="L13" s="4" t="s">
        <v>4</v>
      </c>
      <c r="M13" t="s">
        <v>5</v>
      </c>
      <c r="U13" s="5" t="s">
        <v>26</v>
      </c>
      <c r="V13" s="1">
        <v>14</v>
      </c>
    </row>
    <row r="14" spans="1:22" x14ac:dyDescent="0.35">
      <c r="B14" s="5" t="s">
        <v>38</v>
      </c>
      <c r="C14" s="1">
        <v>22</v>
      </c>
      <c r="F14" s="5" t="s">
        <v>38</v>
      </c>
      <c r="G14" s="7">
        <v>33</v>
      </c>
      <c r="I14" s="5" t="s">
        <v>38</v>
      </c>
      <c r="J14" s="7">
        <v>3.5</v>
      </c>
      <c r="L14" s="5" t="s">
        <v>29</v>
      </c>
      <c r="M14" s="1">
        <v>506</v>
      </c>
      <c r="U14" s="5" t="s">
        <v>20</v>
      </c>
      <c r="V14" s="1">
        <v>15</v>
      </c>
    </row>
    <row r="15" spans="1:22" x14ac:dyDescent="0.35">
      <c r="A15" t="s">
        <v>2</v>
      </c>
      <c r="B15" s="5" t="s">
        <v>39</v>
      </c>
      <c r="C15" s="1">
        <v>18</v>
      </c>
      <c r="F15" s="5" t="s">
        <v>39</v>
      </c>
      <c r="G15" s="7">
        <v>40.222222222222221</v>
      </c>
      <c r="I15" s="5" t="s">
        <v>39</v>
      </c>
      <c r="J15" s="7">
        <v>3.6666666666666665</v>
      </c>
      <c r="L15" s="5" t="s">
        <v>3</v>
      </c>
      <c r="M15" s="1">
        <v>506</v>
      </c>
      <c r="U15" s="5" t="s">
        <v>25</v>
      </c>
      <c r="V15" s="1">
        <v>59</v>
      </c>
    </row>
    <row r="16" spans="1:22" x14ac:dyDescent="0.35">
      <c r="A16" s="3">
        <v>5.3277310924369745</v>
      </c>
      <c r="B16" s="5" t="s">
        <v>40</v>
      </c>
      <c r="C16" s="1">
        <v>20</v>
      </c>
      <c r="F16" s="5" t="s">
        <v>40</v>
      </c>
      <c r="G16" s="7">
        <v>42.05</v>
      </c>
      <c r="I16" s="5" t="s">
        <v>40</v>
      </c>
      <c r="J16" s="7">
        <v>3.8</v>
      </c>
      <c r="U16" s="5" t="s">
        <v>22</v>
      </c>
      <c r="V16" s="1">
        <v>93</v>
      </c>
    </row>
    <row r="17" spans="2:22" x14ac:dyDescent="0.35">
      <c r="B17" s="5" t="s">
        <v>41</v>
      </c>
      <c r="C17" s="1">
        <v>13</v>
      </c>
      <c r="F17" s="5" t="s">
        <v>41</v>
      </c>
      <c r="G17" s="7">
        <v>42.615384615384613</v>
      </c>
      <c r="I17" s="5" t="s">
        <v>41</v>
      </c>
      <c r="J17" s="7">
        <v>1</v>
      </c>
      <c r="U17" s="5" t="s">
        <v>24</v>
      </c>
      <c r="V17" s="1">
        <v>311</v>
      </c>
    </row>
    <row r="18" spans="2:22" x14ac:dyDescent="0.35">
      <c r="B18" s="5" t="s">
        <v>42</v>
      </c>
      <c r="C18" s="1">
        <v>13</v>
      </c>
      <c r="F18" s="5" t="s">
        <v>42</v>
      </c>
      <c r="G18" s="7">
        <v>40.46153846153846</v>
      </c>
      <c r="I18" s="5" t="s">
        <v>42</v>
      </c>
      <c r="J18" s="7">
        <v>7</v>
      </c>
      <c r="U18" s="5" t="s">
        <v>3</v>
      </c>
      <c r="V18" s="1">
        <v>506</v>
      </c>
    </row>
    <row r="19" spans="2:22" x14ac:dyDescent="0.35">
      <c r="B19" s="5" t="s">
        <v>43</v>
      </c>
      <c r="C19" s="1">
        <v>14</v>
      </c>
      <c r="F19" s="5" t="s">
        <v>43</v>
      </c>
      <c r="G19" s="7">
        <v>34.071428571428569</v>
      </c>
      <c r="I19" s="5" t="s">
        <v>43</v>
      </c>
      <c r="J19" s="7">
        <v>5</v>
      </c>
      <c r="L19" s="4" t="s">
        <v>4</v>
      </c>
      <c r="M19" t="s">
        <v>5</v>
      </c>
    </row>
    <row r="20" spans="2:22" x14ac:dyDescent="0.35">
      <c r="B20" s="5" t="s">
        <v>44</v>
      </c>
      <c r="C20" s="1">
        <v>13</v>
      </c>
      <c r="F20" s="5" t="s">
        <v>44</v>
      </c>
      <c r="G20" s="7">
        <v>33.92307692307692</v>
      </c>
      <c r="I20" s="5" t="s">
        <v>44</v>
      </c>
      <c r="J20" s="7">
        <v>4.25</v>
      </c>
      <c r="L20" s="5" t="s">
        <v>9</v>
      </c>
      <c r="M20" s="1">
        <v>64</v>
      </c>
    </row>
    <row r="21" spans="2:22" x14ac:dyDescent="0.35">
      <c r="B21" s="5" t="s">
        <v>45</v>
      </c>
      <c r="C21" s="1">
        <v>18</v>
      </c>
      <c r="F21" s="5" t="s">
        <v>45</v>
      </c>
      <c r="G21" s="7">
        <v>43.166666666666664</v>
      </c>
      <c r="I21" s="5" t="s">
        <v>45</v>
      </c>
      <c r="J21" s="7">
        <v>4</v>
      </c>
      <c r="L21" s="5" t="s">
        <v>10</v>
      </c>
      <c r="M21" s="1">
        <v>66</v>
      </c>
    </row>
    <row r="22" spans="2:22" x14ac:dyDescent="0.35">
      <c r="B22" s="5" t="s">
        <v>46</v>
      </c>
      <c r="C22" s="1">
        <v>12</v>
      </c>
      <c r="F22" s="5" t="s">
        <v>46</v>
      </c>
      <c r="G22" s="7">
        <v>42.25</v>
      </c>
      <c r="I22" s="5" t="s">
        <v>46</v>
      </c>
      <c r="J22" s="7">
        <v>7.333333333333333</v>
      </c>
      <c r="L22" s="5" t="s">
        <v>11</v>
      </c>
      <c r="M22" s="1">
        <v>65</v>
      </c>
    </row>
    <row r="23" spans="2:22" x14ac:dyDescent="0.35">
      <c r="B23" s="5" t="s">
        <v>47</v>
      </c>
      <c r="C23" s="1">
        <v>11</v>
      </c>
      <c r="F23" s="5" t="s">
        <v>47</v>
      </c>
      <c r="G23" s="7">
        <v>44.090909090909093</v>
      </c>
      <c r="I23" s="5" t="s">
        <v>47</v>
      </c>
      <c r="J23" s="7">
        <v>9</v>
      </c>
      <c r="L23" s="5" t="s">
        <v>12</v>
      </c>
      <c r="M23" s="1">
        <v>73</v>
      </c>
    </row>
    <row r="24" spans="2:22" x14ac:dyDescent="0.35">
      <c r="B24" s="5" t="s">
        <v>48</v>
      </c>
      <c r="C24" s="1">
        <v>14</v>
      </c>
      <c r="F24" s="5" t="s">
        <v>48</v>
      </c>
      <c r="G24" s="7">
        <v>39</v>
      </c>
      <c r="I24" s="5" t="s">
        <v>48</v>
      </c>
      <c r="J24" s="7">
        <v>5.25</v>
      </c>
      <c r="L24" s="5" t="s">
        <v>13</v>
      </c>
      <c r="M24" s="1">
        <v>45</v>
      </c>
    </row>
    <row r="25" spans="2:22" x14ac:dyDescent="0.35">
      <c r="B25" s="5" t="s">
        <v>49</v>
      </c>
      <c r="C25" s="1">
        <v>12</v>
      </c>
      <c r="F25" s="5" t="s">
        <v>49</v>
      </c>
      <c r="G25" s="7">
        <v>31.25</v>
      </c>
      <c r="I25" s="5" t="s">
        <v>49</v>
      </c>
      <c r="J25" s="7">
        <v>6.6</v>
      </c>
      <c r="L25" s="5" t="s">
        <v>14</v>
      </c>
      <c r="M25" s="1">
        <v>72</v>
      </c>
    </row>
    <row r="26" spans="2:22" x14ac:dyDescent="0.35">
      <c r="B26" s="5" t="s">
        <v>50</v>
      </c>
      <c r="C26" s="1">
        <v>16</v>
      </c>
      <c r="F26" s="5" t="s">
        <v>50</v>
      </c>
      <c r="G26" s="7">
        <v>28.5</v>
      </c>
      <c r="I26" s="5" t="s">
        <v>50</v>
      </c>
      <c r="J26" s="7">
        <v>6.25</v>
      </c>
      <c r="L26" s="5" t="s">
        <v>15</v>
      </c>
      <c r="M26" s="1">
        <v>74</v>
      </c>
    </row>
    <row r="27" spans="2:22" x14ac:dyDescent="0.35">
      <c r="B27" s="5" t="s">
        <v>51</v>
      </c>
      <c r="C27" s="1">
        <v>16</v>
      </c>
      <c r="F27" s="5" t="s">
        <v>51</v>
      </c>
      <c r="G27" s="7">
        <v>34.0625</v>
      </c>
      <c r="I27" s="5" t="s">
        <v>51</v>
      </c>
      <c r="J27" s="7">
        <v>6.333333333333333</v>
      </c>
      <c r="L27" s="5" t="s">
        <v>16</v>
      </c>
      <c r="M27" s="1">
        <v>47</v>
      </c>
    </row>
    <row r="28" spans="2:22" x14ac:dyDescent="0.35">
      <c r="B28" s="5" t="s">
        <v>52</v>
      </c>
      <c r="C28" s="1">
        <v>15</v>
      </c>
      <c r="F28" s="5" t="s">
        <v>52</v>
      </c>
      <c r="G28" s="7">
        <v>25.2</v>
      </c>
      <c r="I28" s="5" t="s">
        <v>52</v>
      </c>
      <c r="J28" s="7">
        <v>7</v>
      </c>
      <c r="L28" s="5" t="s">
        <v>3</v>
      </c>
      <c r="M28" s="1">
        <v>506</v>
      </c>
    </row>
    <row r="29" spans="2:22" x14ac:dyDescent="0.35">
      <c r="B29" s="5" t="s">
        <v>53</v>
      </c>
      <c r="C29" s="1">
        <v>22</v>
      </c>
      <c r="F29" s="5" t="s">
        <v>53</v>
      </c>
      <c r="G29" s="7">
        <v>35.863636363636367</v>
      </c>
      <c r="I29" s="5" t="s">
        <v>53</v>
      </c>
      <c r="J29" s="7">
        <v>5.666666666666667</v>
      </c>
    </row>
    <row r="30" spans="2:22" x14ac:dyDescent="0.35">
      <c r="B30" s="5" t="s">
        <v>54</v>
      </c>
      <c r="C30" s="1">
        <v>18</v>
      </c>
      <c r="F30" s="5" t="s">
        <v>54</v>
      </c>
      <c r="G30" s="7">
        <v>39.833333333333336</v>
      </c>
      <c r="I30" s="5" t="s">
        <v>54</v>
      </c>
      <c r="J30" s="7">
        <v>3.3333333333333335</v>
      </c>
    </row>
    <row r="31" spans="2:22" x14ac:dyDescent="0.35">
      <c r="B31" s="5" t="s">
        <v>55</v>
      </c>
      <c r="C31" s="1">
        <v>10</v>
      </c>
      <c r="F31" s="5" t="s">
        <v>55</v>
      </c>
      <c r="G31" s="7">
        <v>37</v>
      </c>
      <c r="I31" s="5" t="s">
        <v>55</v>
      </c>
      <c r="J31" s="7">
        <v>4.75</v>
      </c>
      <c r="L31" s="4" t="s">
        <v>4</v>
      </c>
      <c r="M31" t="s">
        <v>19</v>
      </c>
    </row>
    <row r="32" spans="2:22" x14ac:dyDescent="0.35">
      <c r="B32" s="5" t="s">
        <v>56</v>
      </c>
      <c r="C32" s="1">
        <v>17</v>
      </c>
      <c r="F32" s="5" t="s">
        <v>56</v>
      </c>
      <c r="G32" s="7">
        <v>39.411764705882355</v>
      </c>
      <c r="I32" s="5" t="s">
        <v>56</v>
      </c>
      <c r="J32" s="7">
        <v>2</v>
      </c>
      <c r="L32" s="5" t="s">
        <v>17</v>
      </c>
      <c r="M32" s="1">
        <v>231</v>
      </c>
    </row>
    <row r="33" spans="2:13" x14ac:dyDescent="0.35">
      <c r="B33" s="5" t="s">
        <v>57</v>
      </c>
      <c r="C33" s="1">
        <v>17</v>
      </c>
      <c r="F33" s="5" t="s">
        <v>57</v>
      </c>
      <c r="G33" s="7">
        <v>30.294117647058822</v>
      </c>
      <c r="I33" s="5" t="s">
        <v>57</v>
      </c>
      <c r="J33" s="7">
        <v>9.25</v>
      </c>
      <c r="L33" s="5" t="s">
        <v>18</v>
      </c>
      <c r="M33" s="1">
        <v>275</v>
      </c>
    </row>
    <row r="34" spans="2:13" x14ac:dyDescent="0.35">
      <c r="B34" s="5" t="s">
        <v>58</v>
      </c>
      <c r="C34" s="1">
        <v>12</v>
      </c>
      <c r="F34" s="5" t="s">
        <v>58</v>
      </c>
      <c r="G34" s="7">
        <v>32.666666666666664</v>
      </c>
      <c r="I34" s="5" t="s">
        <v>58</v>
      </c>
      <c r="J34" s="7">
        <v>2.6666666666666665</v>
      </c>
      <c r="L34" s="5" t="s">
        <v>3</v>
      </c>
      <c r="M34" s="1">
        <v>506</v>
      </c>
    </row>
    <row r="35" spans="2:13" x14ac:dyDescent="0.35">
      <c r="B35" s="5" t="s">
        <v>59</v>
      </c>
      <c r="C35" s="1">
        <v>14</v>
      </c>
      <c r="F35" s="5" t="s">
        <v>59</v>
      </c>
      <c r="G35" s="7">
        <v>30.571428571428573</v>
      </c>
      <c r="I35" s="5" t="s">
        <v>59</v>
      </c>
      <c r="J35" s="7">
        <v>4</v>
      </c>
    </row>
    <row r="36" spans="2:13" x14ac:dyDescent="0.35">
      <c r="B36" s="5" t="s">
        <v>60</v>
      </c>
      <c r="C36" s="1">
        <v>18</v>
      </c>
      <c r="F36" s="5" t="s">
        <v>60</v>
      </c>
      <c r="G36" s="7">
        <v>39.055555555555557</v>
      </c>
      <c r="I36" s="5" t="s">
        <v>60</v>
      </c>
      <c r="J36" s="7">
        <v>8.75</v>
      </c>
    </row>
    <row r="37" spans="2:13" x14ac:dyDescent="0.35">
      <c r="B37" s="5" t="s">
        <v>3</v>
      </c>
      <c r="C37" s="1">
        <v>506</v>
      </c>
      <c r="F37" s="5" t="s">
        <v>3</v>
      </c>
      <c r="G37" s="7">
        <v>35.879446640316203</v>
      </c>
      <c r="I37" s="5" t="s">
        <v>3</v>
      </c>
      <c r="J37" s="7">
        <v>5.3277310924369745</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4E68-9C2D-4DB5-9602-CD2AE20A54EB}">
  <dimension ref="A1"/>
  <sheetViews>
    <sheetView workbookViewId="0">
      <selection activeCell="L8" sqref="L8"/>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ACB4-98DD-4252-9F1E-1747333E1D23}">
  <dimension ref="A1"/>
  <sheetViews>
    <sheetView zoomScaleNormal="100" workbookViewId="0"/>
  </sheetViews>
  <sheetFormatPr defaultRowHeight="14.5" x14ac:dyDescent="0.35"/>
  <cols>
    <col min="1" max="16384" width="8.7265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4772-33E4-4BBE-8851-27EFD7A8914B}">
  <dimension ref="M22"/>
  <sheetViews>
    <sheetView tabSelected="1" zoomScale="124" zoomScaleNormal="190" workbookViewId="0">
      <selection activeCell="M13" sqref="M13"/>
    </sheetView>
  </sheetViews>
  <sheetFormatPr defaultRowHeight="14.5" x14ac:dyDescent="0.35"/>
  <cols>
    <col min="1" max="5" width="8.7265625" style="2"/>
    <col min="6" max="6" width="7.7265625" style="2" customWidth="1"/>
    <col min="7" max="16384" width="8.7265625" style="2"/>
  </cols>
  <sheetData>
    <row r="22" spans="13:13" x14ac:dyDescent="0.35">
      <c r="M22" s="2" t="s">
        <v>61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A554C-5710-4C3B-8E9F-4C0FF1616C72}">
  <dimension ref="A1"/>
  <sheetViews>
    <sheetView workbookViewId="0">
      <selection activeCell="F18" sqref="F18"/>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4047F4F-11CE-454C-BA56-372827365CB5}">
  <ds:schemaRefs/>
</ds:datastoreItem>
</file>

<file path=customXml/itemProps2.xml><?xml version="1.0" encoding="utf-8"?>
<ds:datastoreItem xmlns:ds="http://schemas.openxmlformats.org/officeDocument/2006/customXml" ds:itemID="{5229063C-F8A2-40E7-A50B-26CE4CCFC28A}">
  <ds:schemaRefs/>
</ds:datastoreItem>
</file>

<file path=customXml/itemProps3.xml><?xml version="1.0" encoding="utf-8"?>
<ds:datastoreItem xmlns:ds="http://schemas.openxmlformats.org/officeDocument/2006/customXml" ds:itemID="{CEECAC99-A2B7-4373-914C-EFAA4D8BCB16}">
  <ds:schemaRefs/>
</ds:datastoreItem>
</file>

<file path=customXml/itemProps4.xml><?xml version="1.0" encoding="utf-8"?>
<ds:datastoreItem xmlns:ds="http://schemas.openxmlformats.org/officeDocument/2006/customXml" ds:itemID="{B1BE9AAB-FDF3-4373-8305-E47FBE01A07E}">
  <ds:schemaRefs/>
</ds:datastoreItem>
</file>

<file path=customXml/itemProps5.xml><?xml version="1.0" encoding="utf-8"?>
<ds:datastoreItem xmlns:ds="http://schemas.openxmlformats.org/officeDocument/2006/customXml" ds:itemID="{CA4EC8B9-AEEC-4C7E-B9F5-00B8975FFD92}">
  <ds:schemaRefs/>
</ds:datastoreItem>
</file>

<file path=customXml/itemProps6.xml><?xml version="1.0" encoding="utf-8"?>
<ds:datastoreItem xmlns:ds="http://schemas.openxmlformats.org/officeDocument/2006/customXml" ds:itemID="{425D3933-9B93-4C82-BF32-685948D65973}">
  <ds:schemaRefs/>
</ds:datastoreItem>
</file>

<file path=customXml/itemProps7.xml><?xml version="1.0" encoding="utf-8"?>
<ds:datastoreItem xmlns:ds="http://schemas.openxmlformats.org/officeDocument/2006/customXml" ds:itemID="{9EAC8C84-85A9-4518-B373-A5E183850816}">
  <ds:schemaRefs/>
</ds:datastoreItem>
</file>

<file path=customXml/itemProps8.xml><?xml version="1.0" encoding="utf-8"?>
<ds:datastoreItem xmlns:ds="http://schemas.openxmlformats.org/officeDocument/2006/customXml" ds:itemID="{5DEEAEFB-DB54-42B6-B59F-3773BD7BC968}">
  <ds:schemaRefs/>
</ds:datastoreItem>
</file>

<file path=customXml/itemProps9.xml><?xml version="1.0" encoding="utf-8"?>
<ds:datastoreItem xmlns:ds="http://schemas.openxmlformats.org/officeDocument/2006/customXml" ds:itemID="{B170617C-D803-478E-8347-B5BF57AFB793}">
  <ds:schemaRefs>
    <ds:schemaRef ds:uri="http://schemas.microsoft.com/DataMashup"/>
  </ds:schemaRefs>
</ds:datastoreItem>
</file>

<file path=customXml/itemProps10.xml><?xml version="1.0" encoding="utf-8"?>
<ds:datastoreItem xmlns:ds="http://schemas.openxmlformats.org/officeDocument/2006/customXml" ds:itemID="{56AB8AB1-CF31-4918-951A-519206CC43B5}">
  <ds:schemaRefs/>
</ds:datastoreItem>
</file>

<file path=customXml/itemProps11.xml><?xml version="1.0" encoding="utf-8"?>
<ds:datastoreItem xmlns:ds="http://schemas.openxmlformats.org/officeDocument/2006/customXml" ds:itemID="{CF36C4AD-ED89-4D62-8599-654556A3649A}">
  <ds:schemaRefs/>
</ds:datastoreItem>
</file>

<file path=customXml/itemProps12.xml><?xml version="1.0" encoding="utf-8"?>
<ds:datastoreItem xmlns:ds="http://schemas.openxmlformats.org/officeDocument/2006/customXml" ds:itemID="{AF5E41F2-AED0-4138-ABFF-46753B1A5377}">
  <ds:schemaRefs/>
</ds:datastoreItem>
</file>

<file path=customXml/itemProps13.xml><?xml version="1.0" encoding="utf-8"?>
<ds:datastoreItem xmlns:ds="http://schemas.openxmlformats.org/officeDocument/2006/customXml" ds:itemID="{FDDD43E3-62A5-480B-A166-D3B3D0FDBE2C}">
  <ds:schemaRefs/>
</ds:datastoreItem>
</file>

<file path=customXml/itemProps14.xml><?xml version="1.0" encoding="utf-8"?>
<ds:datastoreItem xmlns:ds="http://schemas.openxmlformats.org/officeDocument/2006/customXml" ds:itemID="{45BD9CB0-F7FE-49B7-A9DC-2BA0D6A861B9}">
  <ds:schemaRefs/>
</ds:datastoreItem>
</file>

<file path=customXml/itemProps15.xml><?xml version="1.0" encoding="utf-8"?>
<ds:datastoreItem xmlns:ds="http://schemas.openxmlformats.org/officeDocument/2006/customXml" ds:itemID="{4E527063-3589-4AA9-B481-4DD9ED835224}">
  <ds:schemaRefs/>
</ds:datastoreItem>
</file>

<file path=customXml/itemProps16.xml><?xml version="1.0" encoding="utf-8"?>
<ds:datastoreItem xmlns:ds="http://schemas.openxmlformats.org/officeDocument/2006/customXml" ds:itemID="{17FB8E69-B750-49D5-9B18-E574A87D22F3}">
  <ds:schemaRefs/>
</ds:datastoreItem>
</file>

<file path=customXml/itemProps17.xml><?xml version="1.0" encoding="utf-8"?>
<ds:datastoreItem xmlns:ds="http://schemas.openxmlformats.org/officeDocument/2006/customXml" ds:itemID="{E6A5598D-C74F-4693-A9BA-3D8F76B5285B}">
  <ds:schemaRefs/>
</ds:datastoreItem>
</file>

<file path=customXml/itemProps18.xml><?xml version="1.0" encoding="utf-8"?>
<ds:datastoreItem xmlns:ds="http://schemas.openxmlformats.org/officeDocument/2006/customXml" ds:itemID="{BFBA877D-6A7D-40EE-89D6-EED556DB0F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Average score of patients</vt:lpstr>
      <vt:lpstr>No. of patients in a month</vt:lpstr>
      <vt:lpstr>Dashboard</vt:lpstr>
      <vt:lpstr>Average wait time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dc:creator>
  <cp:lastModifiedBy>Sandhya</cp:lastModifiedBy>
  <dcterms:created xsi:type="dcterms:W3CDTF">2025-12-25T13:08:54Z</dcterms:created>
  <dcterms:modified xsi:type="dcterms:W3CDTF">2025-12-27T08:34:48Z</dcterms:modified>
</cp:coreProperties>
</file>